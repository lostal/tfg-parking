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FGs 24-24" sheetId="1" r:id="rId5"/>
    <sheet state="hidden" name="TFGs 2do cuatrimestre" sheetId="2" r:id="rId6"/>
    <sheet state="hidden" name="Hoja 1" sheetId="3" r:id="rId7"/>
  </sheets>
  <definedNames/>
  <calcPr/>
</workbook>
</file>

<file path=xl/sharedStrings.xml><?xml version="1.0" encoding="utf-8"?>
<sst xmlns="http://schemas.openxmlformats.org/spreadsheetml/2006/main" count="573" uniqueCount="20">
  <si>
    <t>Inicio</t>
  </si>
  <si>
    <t>Actividad</t>
  </si>
  <si>
    <t>Semanas</t>
  </si>
  <si>
    <t>Entrega</t>
  </si>
  <si>
    <t>Entrega D0</t>
  </si>
  <si>
    <t>T</t>
  </si>
  <si>
    <t>E</t>
  </si>
  <si>
    <t>Entrega D1</t>
  </si>
  <si>
    <t>Capítulo I + Revisión bibliográfica</t>
  </si>
  <si>
    <t>Capítulo II (Requisitos &amp; Requerimientos)</t>
  </si>
  <si>
    <t>Capítulo III (Análisis &amp; Diseño)</t>
  </si>
  <si>
    <t>Capítulos IV (Descripción de la solución) / Capítulo V (Conclusiones, Discusión de resultados, Recomendaciones y futuras líneas de actuación) / Bibliografía</t>
  </si>
  <si>
    <t>Febrero</t>
  </si>
  <si>
    <t>Marzo</t>
  </si>
  <si>
    <t>Abril</t>
  </si>
  <si>
    <t>D0</t>
  </si>
  <si>
    <t>D1</t>
  </si>
  <si>
    <t>Mayo</t>
  </si>
  <si>
    <r>
      <rPr/>
      <t xml:space="preserve">Versión online </t>
    </r>
    <r>
      <rPr>
        <color rgb="FF1155CC"/>
        <u/>
      </rPr>
      <t>aquí</t>
    </r>
  </si>
  <si>
    <r>
      <rPr/>
      <t xml:space="preserve">Versión online </t>
    </r>
    <r>
      <rPr>
        <color rgb="FF1155CC"/>
        <u/>
      </rPr>
      <t>aquí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</si>
</sst>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"/>
    <numFmt numFmtId="165" formatCode="dd &quot;de&quot; mmm"/>
    <numFmt numFmtId="166" formatCode="d/m/yyyy"/>
    <numFmt numFmtId="167" formatCode="d&quot; de &quot;mmm&quot; &quot;"/>
  </numFmts>
  <fonts count="9">
    <font>
      <sz val="10.0"/>
      <color rgb="FF000000"/>
      <name val="Arial"/>
      <scheme val="minor"/>
    </font>
    <font>
      <b/>
      <sz val="8.0"/>
      <color theme="1"/>
      <name val="Arial"/>
      <scheme val="minor"/>
    </font>
    <font>
      <sz val="8.0"/>
      <color theme="1"/>
      <name val="Calibri"/>
    </font>
    <font>
      <sz val="8.0"/>
      <color theme="1"/>
      <name val="Arial"/>
      <scheme val="minor"/>
    </font>
    <font>
      <sz val="7.0"/>
      <color theme="1"/>
      <name val="Arial"/>
      <scheme val="minor"/>
    </font>
    <font>
      <sz val="6.0"/>
      <color theme="1"/>
      <name val="Arial"/>
      <scheme val="minor"/>
    </font>
    <font/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2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/>
    </xf>
    <xf borderId="1" fillId="0" fontId="4" numFmtId="164" xfId="0" applyAlignment="1" applyBorder="1" applyFont="1" applyNumberFormat="1">
      <alignment horizontal="center" readingOrder="0"/>
    </xf>
    <xf borderId="1" fillId="0" fontId="5" numFmtId="164" xfId="0" applyAlignment="1" applyBorder="1" applyFont="1" applyNumberFormat="1">
      <alignment horizontal="center" readingOrder="0"/>
    </xf>
    <xf borderId="2" fillId="0" fontId="5" numFmtId="0" xfId="0" applyAlignment="1" applyBorder="1" applyFont="1">
      <alignment horizontal="center"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vertical="center"/>
    </xf>
    <xf borderId="3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3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0" fillId="0" fontId="4" numFmtId="0" xfId="0" applyAlignment="1" applyFont="1">
      <alignment readingOrder="0" shrinkToFit="0" vertical="top" wrapText="1"/>
    </xf>
    <xf borderId="1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/>
    </xf>
    <xf borderId="2" fillId="0" fontId="1" numFmtId="0" xfId="0" applyAlignment="1" applyBorder="1" applyFont="1">
      <alignment horizontal="center" readingOrder="0"/>
    </xf>
    <xf borderId="2" fillId="0" fontId="6" numFmtId="0" xfId="0" applyBorder="1" applyFont="1"/>
    <xf borderId="7" fillId="0" fontId="6" numFmtId="0" xfId="0" applyBorder="1" applyFont="1"/>
    <xf borderId="8" fillId="0" fontId="1" numFmtId="0" xfId="0" applyAlignment="1" applyBorder="1" applyFont="1">
      <alignment horizontal="center" readingOrder="0"/>
    </xf>
    <xf borderId="9" fillId="0" fontId="6" numFmtId="0" xfId="0" applyBorder="1" applyFont="1"/>
    <xf borderId="10" fillId="0" fontId="6" numFmtId="0" xfId="0" applyBorder="1" applyFont="1"/>
    <xf borderId="11" fillId="0" fontId="1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 readingOrder="0"/>
    </xf>
    <xf borderId="11" fillId="0" fontId="3" numFmtId="0" xfId="0" applyAlignment="1" applyBorder="1" applyFont="1">
      <alignment horizontal="center" readingOrder="0"/>
    </xf>
    <xf borderId="0" fillId="0" fontId="2" numFmtId="165" xfId="0" applyAlignment="1" applyFont="1" applyNumberFormat="1">
      <alignment horizontal="center" readingOrder="0" shrinkToFit="0" vertical="top" wrapText="1"/>
    </xf>
    <xf borderId="0" fillId="0" fontId="7" numFmtId="0" xfId="0" applyAlignment="1" applyFont="1">
      <alignment horizontal="left"/>
    </xf>
    <xf borderId="2" fillId="0" fontId="3" numFmtId="166" xfId="0" applyAlignment="1" applyBorder="1" applyFont="1" applyNumberFormat="1">
      <alignment horizontal="left" readingOrder="0"/>
    </xf>
    <xf borderId="7" fillId="0" fontId="3" numFmtId="166" xfId="0" applyAlignment="1" applyBorder="1" applyFont="1" applyNumberFormat="1">
      <alignment horizontal="left" readingOrder="0"/>
    </xf>
    <xf borderId="11" fillId="0" fontId="3" numFmtId="166" xfId="0" applyAlignment="1" applyBorder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8" fillId="0" fontId="7" numFmtId="0" xfId="0" applyBorder="1" applyFont="1"/>
    <xf borderId="6" fillId="0" fontId="6" numFmtId="0" xfId="0" applyBorder="1" applyFont="1"/>
    <xf borderId="5" fillId="0" fontId="6" numFmtId="0" xfId="0" applyBorder="1" applyFont="1"/>
    <xf borderId="10" fillId="0" fontId="2" numFmtId="0" xfId="0" applyAlignment="1" applyBorder="1" applyFont="1">
      <alignment readingOrder="0" shrinkToFit="0" vertical="top" wrapText="1"/>
    </xf>
    <xf borderId="3" fillId="0" fontId="2" numFmtId="0" xfId="0" applyAlignment="1" applyBorder="1" applyFont="1">
      <alignment readingOrder="0" shrinkToFit="0" vertical="top" wrapText="1"/>
    </xf>
    <xf borderId="3" fillId="0" fontId="6" numFmtId="0" xfId="0" applyBorder="1" applyFont="1"/>
    <xf borderId="1" fillId="0" fontId="2" numFmtId="165" xfId="0" applyAlignment="1" applyBorder="1" applyFont="1" applyNumberFormat="1">
      <alignment horizontal="center" readingOrder="0" shrinkToFit="0" vertical="top" wrapText="1"/>
    </xf>
    <xf borderId="0" fillId="0" fontId="8" numFmtId="0" xfId="0" applyAlignment="1" applyFont="1">
      <alignment readingOrder="0"/>
    </xf>
    <xf borderId="0" fillId="0" fontId="7" numFmtId="164" xfId="0" applyAlignment="1" applyFont="1" applyNumberFormat="1">
      <alignment readingOrder="0" vertical="top"/>
    </xf>
    <xf borderId="8" fillId="0" fontId="2" numFmtId="167" xfId="0" applyAlignment="1" applyBorder="1" applyFont="1" applyNumberFormat="1">
      <alignment horizontal="right" readingOrder="0" vertical="top"/>
    </xf>
    <xf borderId="4" fillId="0" fontId="2" numFmtId="167" xfId="0" applyAlignment="1" applyBorder="1" applyFont="1" applyNumberFormat="1">
      <alignment horizontal="right" readingOrder="0" vertical="top"/>
    </xf>
    <xf borderId="4" fillId="0" fontId="6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-h7wMwxZ7kUiQNReRrTawvWGkcxkswc4mu0t8xXIChw/edit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-h7wMwxZ7kUiQNReRrTawvWGkcxkswc4mu0t8xXIChw/edit?usp=sharing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6.63"/>
    <col customWidth="1" min="2" max="2" width="24.0"/>
    <col customWidth="1" min="3" max="4" width="6.63"/>
    <col customWidth="1" min="5" max="5" width="2.63"/>
    <col customWidth="1" min="6" max="9" width="2.38"/>
    <col customWidth="1" min="10" max="10" width="3.0"/>
    <col customWidth="1" min="11" max="11" width="2.88"/>
    <col customWidth="1" min="12" max="24" width="3.0"/>
    <col customWidth="1" min="25" max="29" width="2.38"/>
    <col customWidth="1" min="30" max="30" width="3.0"/>
    <col customWidth="1" min="31" max="31" width="2.88"/>
    <col customWidth="1" min="32" max="45" width="3.0"/>
    <col customWidth="1" min="46" max="49" width="2.38"/>
    <col customWidth="1" min="50" max="50" width="2.5"/>
    <col customWidth="1" min="51" max="52" width="2.38"/>
    <col customWidth="1" min="53" max="53" width="3.0"/>
    <col customWidth="1" min="54" max="54" width="2.88"/>
    <col customWidth="1" min="55" max="67" width="3.0"/>
    <col customWidth="1" min="68" max="69" width="2.38"/>
    <col customWidth="1" min="70" max="70" width="2.5"/>
    <col customWidth="1" min="71" max="74" width="2.38"/>
    <col customWidth="1" min="75" max="87" width="3.0"/>
    <col customWidth="1" min="88" max="89" width="3.38"/>
  </cols>
  <sheetData>
    <row r="1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</row>
    <row r="2">
      <c r="E2" s="1"/>
      <c r="AA2" s="1"/>
      <c r="AW2" s="1"/>
      <c r="BR2" s="1"/>
      <c r="CJ2" s="1"/>
      <c r="CK2" s="1"/>
    </row>
    <row r="3">
      <c r="A3" s="2" t="s">
        <v>0</v>
      </c>
      <c r="B3" s="3" t="s">
        <v>1</v>
      </c>
      <c r="C3" s="4" t="s">
        <v>2</v>
      </c>
      <c r="D3" s="4" t="s">
        <v>3</v>
      </c>
      <c r="E3" s="5">
        <v>46055.0</v>
      </c>
      <c r="F3" s="6">
        <f t="shared" ref="F3:I3" si="1">E3+1</f>
        <v>46056</v>
      </c>
      <c r="G3" s="6">
        <f t="shared" si="1"/>
        <v>46057</v>
      </c>
      <c r="H3" s="6">
        <f t="shared" si="1"/>
        <v>46058</v>
      </c>
      <c r="I3" s="6">
        <f t="shared" si="1"/>
        <v>46059</v>
      </c>
      <c r="J3" s="6">
        <f>I3+3</f>
        <v>46062</v>
      </c>
      <c r="K3" s="6">
        <f t="shared" ref="K3:N3" si="2">J3+1</f>
        <v>46063</v>
      </c>
      <c r="L3" s="6">
        <f t="shared" si="2"/>
        <v>46064</v>
      </c>
      <c r="M3" s="6">
        <f t="shared" si="2"/>
        <v>46065</v>
      </c>
      <c r="N3" s="6">
        <f t="shared" si="2"/>
        <v>46066</v>
      </c>
      <c r="O3" s="6">
        <f>N3+3</f>
        <v>46069</v>
      </c>
      <c r="P3" s="6">
        <f t="shared" ref="P3:S3" si="3">O3+1</f>
        <v>46070</v>
      </c>
      <c r="Q3" s="6">
        <f t="shared" si="3"/>
        <v>46071</v>
      </c>
      <c r="R3" s="6">
        <f t="shared" si="3"/>
        <v>46072</v>
      </c>
      <c r="S3" s="6">
        <f t="shared" si="3"/>
        <v>46073</v>
      </c>
      <c r="T3" s="6">
        <f>S3+3</f>
        <v>46076</v>
      </c>
      <c r="U3" s="6">
        <f t="shared" ref="U3:X3" si="4">T3+1</f>
        <v>46077</v>
      </c>
      <c r="V3" s="6">
        <f t="shared" si="4"/>
        <v>46078</v>
      </c>
      <c r="W3" s="6">
        <f t="shared" si="4"/>
        <v>46079</v>
      </c>
      <c r="X3" s="6">
        <f t="shared" si="4"/>
        <v>46080</v>
      </c>
      <c r="Y3" s="6">
        <f>X3+3</f>
        <v>46083</v>
      </c>
      <c r="Z3" s="6">
        <f t="shared" ref="Z3:AC3" si="5">Y3+1</f>
        <v>46084</v>
      </c>
      <c r="AA3" s="6">
        <f t="shared" si="5"/>
        <v>46085</v>
      </c>
      <c r="AB3" s="6">
        <f t="shared" si="5"/>
        <v>46086</v>
      </c>
      <c r="AC3" s="6">
        <f t="shared" si="5"/>
        <v>46087</v>
      </c>
      <c r="AD3" s="6">
        <f>AC3+3</f>
        <v>46090</v>
      </c>
      <c r="AE3" s="6">
        <f t="shared" ref="AE3:AH3" si="6">AD3+1</f>
        <v>46091</v>
      </c>
      <c r="AF3" s="6">
        <f t="shared" si="6"/>
        <v>46092</v>
      </c>
      <c r="AG3" s="6">
        <f t="shared" si="6"/>
        <v>46093</v>
      </c>
      <c r="AH3" s="6">
        <f t="shared" si="6"/>
        <v>46094</v>
      </c>
      <c r="AI3" s="6">
        <f>AH3+3</f>
        <v>46097</v>
      </c>
      <c r="AJ3" s="6">
        <f t="shared" ref="AJ3:AM3" si="7">AI3+1</f>
        <v>46098</v>
      </c>
      <c r="AK3" s="6">
        <f t="shared" si="7"/>
        <v>46099</v>
      </c>
      <c r="AL3" s="6">
        <f t="shared" si="7"/>
        <v>46100</v>
      </c>
      <c r="AM3" s="6">
        <f t="shared" si="7"/>
        <v>46101</v>
      </c>
      <c r="AN3" s="6">
        <f>AM3+3</f>
        <v>46104</v>
      </c>
      <c r="AO3" s="6">
        <f t="shared" ref="AO3:AR3" si="8">AN3+1</f>
        <v>46105</v>
      </c>
      <c r="AP3" s="6">
        <f t="shared" si="8"/>
        <v>46106</v>
      </c>
      <c r="AQ3" s="6">
        <f t="shared" si="8"/>
        <v>46107</v>
      </c>
      <c r="AR3" s="6">
        <f t="shared" si="8"/>
        <v>46108</v>
      </c>
      <c r="AS3" s="6">
        <f>AR3+3</f>
        <v>46111</v>
      </c>
      <c r="AT3" s="6">
        <f t="shared" ref="AT3:AW3" si="9">AS3+1</f>
        <v>46112</v>
      </c>
      <c r="AU3" s="6">
        <f t="shared" si="9"/>
        <v>46113</v>
      </c>
      <c r="AV3" s="6">
        <f t="shared" si="9"/>
        <v>46114</v>
      </c>
      <c r="AW3" s="6">
        <f t="shared" si="9"/>
        <v>46115</v>
      </c>
      <c r="AX3" s="6">
        <f>AW3+3</f>
        <v>46118</v>
      </c>
      <c r="AY3" s="6">
        <f t="shared" ref="AY3:BB3" si="10">AX3+1</f>
        <v>46119</v>
      </c>
      <c r="AZ3" s="6">
        <f t="shared" si="10"/>
        <v>46120</v>
      </c>
      <c r="BA3" s="6">
        <f t="shared" si="10"/>
        <v>46121</v>
      </c>
      <c r="BB3" s="6">
        <f t="shared" si="10"/>
        <v>46122</v>
      </c>
      <c r="BC3" s="6">
        <f>BB3+3</f>
        <v>46125</v>
      </c>
      <c r="BD3" s="6">
        <f t="shared" ref="BD3:BG3" si="11">BC3+1</f>
        <v>46126</v>
      </c>
      <c r="BE3" s="6">
        <f t="shared" si="11"/>
        <v>46127</v>
      </c>
      <c r="BF3" s="6">
        <f t="shared" si="11"/>
        <v>46128</v>
      </c>
      <c r="BG3" s="6">
        <f t="shared" si="11"/>
        <v>46129</v>
      </c>
      <c r="BH3" s="6">
        <f>BG3+3</f>
        <v>46132</v>
      </c>
      <c r="BI3" s="6">
        <f t="shared" ref="BI3:BL3" si="12">BH3+1</f>
        <v>46133</v>
      </c>
      <c r="BJ3" s="6">
        <f t="shared" si="12"/>
        <v>46134</v>
      </c>
      <c r="BK3" s="6">
        <f t="shared" si="12"/>
        <v>46135</v>
      </c>
      <c r="BL3" s="6">
        <f t="shared" si="12"/>
        <v>46136</v>
      </c>
      <c r="BM3" s="6">
        <f>BL3+3</f>
        <v>46139</v>
      </c>
      <c r="BN3" s="6">
        <f t="shared" ref="BN3:BQ3" si="13">BM3+1</f>
        <v>46140</v>
      </c>
      <c r="BO3" s="6">
        <f t="shared" si="13"/>
        <v>46141</v>
      </c>
      <c r="BP3" s="6">
        <f t="shared" si="13"/>
        <v>46142</v>
      </c>
      <c r="BQ3" s="6">
        <f t="shared" si="13"/>
        <v>46143</v>
      </c>
      <c r="BR3" s="6">
        <f>BQ3+3</f>
        <v>46146</v>
      </c>
      <c r="BS3" s="6">
        <f t="shared" ref="BS3:BV3" si="14">BR3+1</f>
        <v>46147</v>
      </c>
      <c r="BT3" s="6">
        <f t="shared" si="14"/>
        <v>46148</v>
      </c>
      <c r="BU3" s="6">
        <f t="shared" si="14"/>
        <v>46149</v>
      </c>
      <c r="BV3" s="6">
        <f t="shared" si="14"/>
        <v>46150</v>
      </c>
      <c r="BW3" s="6">
        <f>BV3+3</f>
        <v>46153</v>
      </c>
      <c r="BX3" s="6">
        <f t="shared" ref="BX3:CA3" si="15">BW3+1</f>
        <v>46154</v>
      </c>
      <c r="BY3" s="6">
        <f t="shared" si="15"/>
        <v>46155</v>
      </c>
      <c r="BZ3" s="6">
        <f t="shared" si="15"/>
        <v>46156</v>
      </c>
      <c r="CA3" s="6">
        <f t="shared" si="15"/>
        <v>46157</v>
      </c>
      <c r="CB3" s="6">
        <f>CA3+3</f>
        <v>46160</v>
      </c>
      <c r="CC3" s="6">
        <f t="shared" ref="CC3:CF3" si="16">CB3+1</f>
        <v>46161</v>
      </c>
      <c r="CD3" s="6">
        <f t="shared" si="16"/>
        <v>46162</v>
      </c>
      <c r="CE3" s="6">
        <f t="shared" si="16"/>
        <v>46163</v>
      </c>
      <c r="CF3" s="6">
        <f t="shared" si="16"/>
        <v>46164</v>
      </c>
      <c r="CG3" s="6">
        <f>CF3+3</f>
        <v>46167</v>
      </c>
      <c r="CH3" s="6">
        <f t="shared" ref="CH3:CI3" si="17">CG3+1</f>
        <v>46168</v>
      </c>
      <c r="CI3" s="6">
        <f t="shared" si="17"/>
        <v>46169</v>
      </c>
      <c r="CJ3" s="7"/>
      <c r="CK3" s="7"/>
    </row>
    <row r="4" hidden="1">
      <c r="A4" s="8"/>
      <c r="B4" s="8" t="s">
        <v>0</v>
      </c>
      <c r="C4" s="8"/>
      <c r="D4" s="8"/>
      <c r="E4" s="9"/>
      <c r="F4" s="9"/>
      <c r="G4" s="9"/>
      <c r="H4" s="9"/>
      <c r="I4" s="10"/>
      <c r="J4" s="11"/>
      <c r="K4" s="9"/>
      <c r="L4" s="9"/>
      <c r="M4" s="9"/>
      <c r="N4" s="10"/>
      <c r="O4" s="12"/>
      <c r="P4" s="13"/>
      <c r="Q4" s="13"/>
      <c r="R4" s="13"/>
      <c r="S4" s="13"/>
      <c r="T4" s="12"/>
      <c r="U4" s="13"/>
      <c r="V4" s="13"/>
      <c r="W4" s="13"/>
      <c r="X4" s="14"/>
      <c r="Y4" s="13"/>
      <c r="Z4" s="13"/>
      <c r="AA4" s="13"/>
      <c r="AB4" s="13"/>
      <c r="AC4" s="14"/>
      <c r="AD4" s="13"/>
      <c r="AE4" s="13"/>
      <c r="AF4" s="13"/>
      <c r="AG4" s="13"/>
      <c r="AH4" s="13"/>
      <c r="AI4" s="12"/>
      <c r="AJ4" s="13"/>
      <c r="AK4" s="13"/>
      <c r="AL4" s="13"/>
      <c r="AM4" s="14"/>
      <c r="AN4" s="13"/>
      <c r="AO4" s="13"/>
      <c r="AP4" s="13"/>
      <c r="AQ4" s="13"/>
      <c r="AR4" s="13"/>
      <c r="AS4" s="12"/>
      <c r="AT4" s="13"/>
      <c r="AU4" s="13"/>
      <c r="AV4" s="13"/>
      <c r="AW4" s="14"/>
      <c r="AX4" s="13"/>
      <c r="AY4" s="13"/>
      <c r="AZ4" s="13"/>
      <c r="BA4" s="13"/>
      <c r="BB4" s="13"/>
      <c r="BC4" s="12"/>
      <c r="BD4" s="13"/>
      <c r="BE4" s="13"/>
      <c r="BF4" s="13"/>
      <c r="BG4" s="14"/>
      <c r="BH4" s="12"/>
      <c r="BI4" s="13"/>
      <c r="BJ4" s="13"/>
      <c r="BK4" s="13"/>
      <c r="BL4" s="14"/>
      <c r="BM4" s="12"/>
      <c r="BN4" s="13"/>
      <c r="BO4" s="13"/>
      <c r="BP4" s="13"/>
      <c r="BQ4" s="14"/>
      <c r="BR4" s="13"/>
      <c r="BS4" s="13"/>
      <c r="BT4" s="13"/>
      <c r="BU4" s="13"/>
      <c r="BV4" s="13"/>
      <c r="BW4" s="12"/>
      <c r="BX4" s="13"/>
      <c r="BY4" s="13"/>
      <c r="BZ4" s="13"/>
      <c r="CA4" s="14"/>
      <c r="CB4" s="13"/>
      <c r="CC4" s="13"/>
      <c r="CD4" s="13"/>
      <c r="CE4" s="13"/>
      <c r="CF4" s="14"/>
      <c r="CG4" s="13"/>
      <c r="CH4" s="13"/>
      <c r="CI4" s="14"/>
      <c r="CJ4" s="13"/>
      <c r="CK4" s="13"/>
    </row>
    <row r="5" hidden="1">
      <c r="A5" s="8"/>
      <c r="B5" s="8" t="s">
        <v>4</v>
      </c>
      <c r="C5" s="8"/>
      <c r="D5" s="8"/>
      <c r="E5" s="15" t="s">
        <v>5</v>
      </c>
      <c r="F5" s="15" t="s">
        <v>5</v>
      </c>
      <c r="G5" s="15" t="s">
        <v>5</v>
      </c>
      <c r="H5" s="15" t="s">
        <v>5</v>
      </c>
      <c r="I5" s="16" t="s">
        <v>5</v>
      </c>
      <c r="J5" s="17" t="s">
        <v>5</v>
      </c>
      <c r="K5" s="15" t="s">
        <v>5</v>
      </c>
      <c r="L5" s="15" t="s">
        <v>5</v>
      </c>
      <c r="M5" s="15" t="s">
        <v>5</v>
      </c>
      <c r="N5" s="10" t="s">
        <v>6</v>
      </c>
      <c r="O5" s="18"/>
      <c r="P5" s="19"/>
      <c r="Q5" s="19"/>
      <c r="R5" s="19"/>
      <c r="S5" s="19"/>
      <c r="T5" s="18"/>
      <c r="U5" s="19"/>
      <c r="V5" s="19"/>
      <c r="W5" s="19"/>
      <c r="X5" s="20"/>
      <c r="Y5" s="13"/>
      <c r="Z5" s="13"/>
      <c r="AA5" s="13"/>
      <c r="AB5" s="13"/>
      <c r="AC5" s="14"/>
      <c r="AD5" s="13"/>
      <c r="AE5" s="13"/>
      <c r="AF5" s="13"/>
      <c r="AG5" s="13"/>
      <c r="AH5" s="13"/>
      <c r="AI5" s="12"/>
      <c r="AJ5" s="13"/>
      <c r="AK5" s="13"/>
      <c r="AL5" s="13"/>
      <c r="AM5" s="14"/>
      <c r="AN5" s="13"/>
      <c r="AO5" s="13"/>
      <c r="AP5" s="13"/>
      <c r="AQ5" s="13"/>
      <c r="AR5" s="13"/>
      <c r="AS5" s="12"/>
      <c r="AT5" s="13"/>
      <c r="AU5" s="13"/>
      <c r="AV5" s="13"/>
      <c r="AW5" s="14"/>
      <c r="AX5" s="13"/>
      <c r="AY5" s="13"/>
      <c r="AZ5" s="13"/>
      <c r="BA5" s="13"/>
      <c r="BB5" s="13"/>
      <c r="BC5" s="12"/>
      <c r="BD5" s="13"/>
      <c r="BE5" s="13"/>
      <c r="BF5" s="13"/>
      <c r="BG5" s="14"/>
      <c r="BH5" s="12"/>
      <c r="BI5" s="13"/>
      <c r="BJ5" s="13"/>
      <c r="BK5" s="13"/>
      <c r="BL5" s="14"/>
      <c r="BM5" s="12"/>
      <c r="BN5" s="13"/>
      <c r="BO5" s="13"/>
      <c r="BP5" s="13"/>
      <c r="BQ5" s="14"/>
      <c r="BR5" s="13"/>
      <c r="BS5" s="13"/>
      <c r="BT5" s="13"/>
      <c r="BU5" s="13"/>
      <c r="BV5" s="13"/>
      <c r="BW5" s="12"/>
      <c r="BX5" s="13"/>
      <c r="BY5" s="13"/>
      <c r="BZ5" s="13"/>
      <c r="CA5" s="14"/>
      <c r="CB5" s="13"/>
      <c r="CC5" s="13"/>
      <c r="CD5" s="13"/>
      <c r="CE5" s="13"/>
      <c r="CF5" s="14"/>
      <c r="CG5" s="13"/>
      <c r="CH5" s="13"/>
      <c r="CI5" s="14"/>
      <c r="CJ5" s="13"/>
      <c r="CK5" s="13"/>
    </row>
    <row r="6" hidden="1">
      <c r="A6" s="8"/>
      <c r="B6" s="8" t="s">
        <v>7</v>
      </c>
      <c r="C6" s="8"/>
      <c r="D6" s="8"/>
      <c r="E6" s="13"/>
      <c r="F6" s="13"/>
      <c r="G6" s="13"/>
      <c r="H6" s="13"/>
      <c r="I6" s="14"/>
      <c r="J6" s="12"/>
      <c r="K6" s="13"/>
      <c r="L6" s="13"/>
      <c r="M6" s="13"/>
      <c r="N6" s="16"/>
      <c r="O6" s="17" t="s">
        <v>5</v>
      </c>
      <c r="P6" s="15" t="s">
        <v>5</v>
      </c>
      <c r="Q6" s="15" t="s">
        <v>5</v>
      </c>
      <c r="R6" s="15" t="s">
        <v>5</v>
      </c>
      <c r="S6" s="15" t="s">
        <v>5</v>
      </c>
      <c r="T6" s="17" t="s">
        <v>5</v>
      </c>
      <c r="U6" s="15" t="s">
        <v>5</v>
      </c>
      <c r="V6" s="15" t="s">
        <v>5</v>
      </c>
      <c r="W6" s="15" t="s">
        <v>5</v>
      </c>
      <c r="X6" s="10" t="s">
        <v>6</v>
      </c>
      <c r="Y6" s="19"/>
      <c r="Z6" s="19"/>
      <c r="AA6" s="19"/>
      <c r="AB6" s="19"/>
      <c r="AC6" s="20"/>
      <c r="AD6" s="19"/>
      <c r="AE6" s="19"/>
      <c r="AF6" s="19"/>
      <c r="AG6" s="19"/>
      <c r="AH6" s="19"/>
      <c r="AI6" s="12"/>
      <c r="AJ6" s="13"/>
      <c r="AK6" s="13"/>
      <c r="AL6" s="13"/>
      <c r="AM6" s="14"/>
      <c r="AN6" s="13"/>
      <c r="AO6" s="13"/>
      <c r="AP6" s="13"/>
      <c r="AQ6" s="13"/>
      <c r="AR6" s="13"/>
      <c r="AS6" s="12"/>
      <c r="AT6" s="13"/>
      <c r="AU6" s="13"/>
      <c r="AV6" s="13"/>
      <c r="AW6" s="14"/>
      <c r="AX6" s="13"/>
      <c r="AY6" s="13"/>
      <c r="AZ6" s="13"/>
      <c r="BA6" s="13"/>
      <c r="BB6" s="13"/>
      <c r="BC6" s="12"/>
      <c r="BD6" s="13"/>
      <c r="BE6" s="13"/>
      <c r="BF6" s="13"/>
      <c r="BG6" s="14"/>
      <c r="BH6" s="12"/>
      <c r="BI6" s="13"/>
      <c r="BJ6" s="13"/>
      <c r="BK6" s="13"/>
      <c r="BL6" s="14"/>
      <c r="BM6" s="12"/>
      <c r="BN6" s="13"/>
      <c r="BO6" s="13"/>
      <c r="BP6" s="13"/>
      <c r="BQ6" s="14"/>
      <c r="BR6" s="13"/>
      <c r="BS6" s="13"/>
      <c r="BT6" s="13"/>
      <c r="BU6" s="13"/>
      <c r="BV6" s="13"/>
      <c r="BW6" s="12"/>
      <c r="BX6" s="13"/>
      <c r="BY6" s="13"/>
      <c r="BZ6" s="13"/>
      <c r="CA6" s="14"/>
      <c r="CB6" s="13"/>
      <c r="CC6" s="13"/>
      <c r="CD6" s="13"/>
      <c r="CE6" s="13"/>
      <c r="CF6" s="14"/>
      <c r="CG6" s="13"/>
      <c r="CH6" s="13"/>
      <c r="CI6" s="14"/>
      <c r="CJ6" s="13"/>
      <c r="CK6" s="13"/>
    </row>
    <row r="7" hidden="1">
      <c r="A7" s="8"/>
      <c r="B7" s="8" t="s">
        <v>8</v>
      </c>
      <c r="C7" s="8"/>
      <c r="D7" s="8"/>
      <c r="E7" s="13"/>
      <c r="F7" s="13"/>
      <c r="G7" s="13"/>
      <c r="H7" s="13"/>
      <c r="I7" s="14"/>
      <c r="J7" s="12"/>
      <c r="K7" s="13"/>
      <c r="L7" s="13"/>
      <c r="M7" s="13"/>
      <c r="N7" s="14"/>
      <c r="O7" s="12"/>
      <c r="P7" s="13"/>
      <c r="Q7" s="13"/>
      <c r="R7" s="13"/>
      <c r="S7" s="13"/>
      <c r="T7" s="12"/>
      <c r="U7" s="13"/>
      <c r="V7" s="13"/>
      <c r="W7" s="13"/>
      <c r="X7" s="16"/>
      <c r="Y7" s="15" t="s">
        <v>5</v>
      </c>
      <c r="Z7" s="15" t="s">
        <v>5</v>
      </c>
      <c r="AA7" s="15" t="s">
        <v>5</v>
      </c>
      <c r="AB7" s="15" t="s">
        <v>5</v>
      </c>
      <c r="AC7" s="16" t="s">
        <v>5</v>
      </c>
      <c r="AD7" s="15" t="s">
        <v>5</v>
      </c>
      <c r="AE7" s="15" t="s">
        <v>5</v>
      </c>
      <c r="AF7" s="15" t="s">
        <v>5</v>
      </c>
      <c r="AG7" s="15" t="s">
        <v>5</v>
      </c>
      <c r="AH7" s="9" t="s">
        <v>6</v>
      </c>
      <c r="AI7" s="18"/>
      <c r="AJ7" s="19"/>
      <c r="AK7" s="19"/>
      <c r="AL7" s="19"/>
      <c r="AM7" s="20"/>
      <c r="AN7" s="19"/>
      <c r="AO7" s="19"/>
      <c r="AP7" s="19"/>
      <c r="AQ7" s="19"/>
      <c r="AR7" s="19"/>
      <c r="AS7" s="18"/>
      <c r="AT7" s="19"/>
      <c r="AU7" s="19"/>
      <c r="AV7" s="19"/>
      <c r="AW7" s="20"/>
      <c r="AX7" s="19"/>
      <c r="AY7" s="19"/>
      <c r="AZ7" s="19"/>
      <c r="BA7" s="19"/>
      <c r="BB7" s="19"/>
      <c r="BC7" s="12"/>
      <c r="BD7" s="13"/>
      <c r="BE7" s="13"/>
      <c r="BF7" s="13"/>
      <c r="BG7" s="14"/>
      <c r="BH7" s="12"/>
      <c r="BI7" s="13"/>
      <c r="BJ7" s="13"/>
      <c r="BK7" s="13"/>
      <c r="BL7" s="14"/>
      <c r="BM7" s="12"/>
      <c r="BN7" s="13"/>
      <c r="BO7" s="13"/>
      <c r="BP7" s="13"/>
      <c r="BQ7" s="14"/>
      <c r="BR7" s="13"/>
      <c r="BS7" s="13"/>
      <c r="BT7" s="13"/>
      <c r="BU7" s="13"/>
      <c r="BV7" s="13"/>
      <c r="BW7" s="12"/>
      <c r="BX7" s="13"/>
      <c r="BY7" s="13"/>
      <c r="BZ7" s="13"/>
      <c r="CA7" s="14"/>
      <c r="CB7" s="13"/>
      <c r="CC7" s="13"/>
      <c r="CD7" s="13"/>
      <c r="CE7" s="13"/>
      <c r="CF7" s="14"/>
      <c r="CG7" s="13"/>
      <c r="CH7" s="13"/>
      <c r="CI7" s="14"/>
      <c r="CJ7" s="13"/>
      <c r="CK7" s="13"/>
    </row>
    <row r="8" hidden="1">
      <c r="A8" s="8"/>
      <c r="B8" s="8" t="s">
        <v>9</v>
      </c>
      <c r="C8" s="8"/>
      <c r="D8" s="8"/>
      <c r="E8" s="13"/>
      <c r="F8" s="13"/>
      <c r="G8" s="13"/>
      <c r="H8" s="13"/>
      <c r="I8" s="14"/>
      <c r="J8" s="12"/>
      <c r="K8" s="13"/>
      <c r="L8" s="13"/>
      <c r="M8" s="13"/>
      <c r="N8" s="14"/>
      <c r="O8" s="12"/>
      <c r="P8" s="13"/>
      <c r="Q8" s="13"/>
      <c r="R8" s="13"/>
      <c r="S8" s="13"/>
      <c r="T8" s="12"/>
      <c r="U8" s="13"/>
      <c r="V8" s="13"/>
      <c r="W8" s="13"/>
      <c r="X8" s="14"/>
      <c r="Y8" s="13"/>
      <c r="Z8" s="13"/>
      <c r="AA8" s="13"/>
      <c r="AB8" s="13"/>
      <c r="AC8" s="14"/>
      <c r="AD8" s="13"/>
      <c r="AE8" s="13"/>
      <c r="AF8" s="13"/>
      <c r="AG8" s="13"/>
      <c r="AH8" s="15"/>
      <c r="AI8" s="17" t="s">
        <v>5</v>
      </c>
      <c r="AJ8" s="15" t="s">
        <v>5</v>
      </c>
      <c r="AK8" s="15" t="s">
        <v>5</v>
      </c>
      <c r="AL8" s="15" t="s">
        <v>5</v>
      </c>
      <c r="AM8" s="16" t="s">
        <v>5</v>
      </c>
      <c r="AN8" s="15" t="s">
        <v>5</v>
      </c>
      <c r="AO8" s="15" t="s">
        <v>5</v>
      </c>
      <c r="AP8" s="15" t="s">
        <v>5</v>
      </c>
      <c r="AQ8" s="15" t="s">
        <v>5</v>
      </c>
      <c r="AR8" s="15" t="s">
        <v>5</v>
      </c>
      <c r="AS8" s="17" t="s">
        <v>5</v>
      </c>
      <c r="AT8" s="15" t="s">
        <v>5</v>
      </c>
      <c r="AU8" s="15" t="s">
        <v>5</v>
      </c>
      <c r="AV8" s="15" t="s">
        <v>5</v>
      </c>
      <c r="AW8" s="16" t="s">
        <v>5</v>
      </c>
      <c r="AX8" s="17" t="s">
        <v>5</v>
      </c>
      <c r="AY8" s="15" t="s">
        <v>5</v>
      </c>
      <c r="AZ8" s="15" t="s">
        <v>5</v>
      </c>
      <c r="BA8" s="15" t="s">
        <v>5</v>
      </c>
      <c r="BB8" s="9" t="s">
        <v>6</v>
      </c>
      <c r="BC8" s="18"/>
      <c r="BD8" s="19"/>
      <c r="BE8" s="19"/>
      <c r="BF8" s="19"/>
      <c r="BG8" s="20"/>
      <c r="BH8" s="18"/>
      <c r="BI8" s="19"/>
      <c r="BJ8" s="19"/>
      <c r="BK8" s="19"/>
      <c r="BL8" s="20"/>
      <c r="BM8" s="12"/>
      <c r="BN8" s="13"/>
      <c r="BO8" s="13"/>
      <c r="BP8" s="13"/>
      <c r="BQ8" s="14"/>
      <c r="BR8" s="13"/>
      <c r="BS8" s="13"/>
      <c r="BT8" s="13"/>
      <c r="BU8" s="13"/>
      <c r="BV8" s="13"/>
      <c r="BW8" s="12"/>
      <c r="BX8" s="13"/>
      <c r="BY8" s="13"/>
      <c r="BZ8" s="13"/>
      <c r="CA8" s="14"/>
      <c r="CB8" s="13"/>
      <c r="CC8" s="13"/>
      <c r="CD8" s="13"/>
      <c r="CE8" s="13"/>
      <c r="CF8" s="14"/>
      <c r="CG8" s="13"/>
      <c r="CH8" s="13"/>
      <c r="CI8" s="14"/>
      <c r="CJ8" s="13"/>
      <c r="CK8" s="13"/>
    </row>
    <row r="9" hidden="1">
      <c r="A9" s="8"/>
      <c r="B9" s="8" t="s">
        <v>10</v>
      </c>
      <c r="C9" s="8"/>
      <c r="D9" s="8"/>
      <c r="E9" s="13"/>
      <c r="F9" s="13"/>
      <c r="G9" s="13"/>
      <c r="H9" s="13"/>
      <c r="I9" s="14"/>
      <c r="J9" s="12"/>
      <c r="K9" s="13"/>
      <c r="L9" s="13"/>
      <c r="M9" s="13"/>
      <c r="N9" s="14"/>
      <c r="O9" s="12"/>
      <c r="P9" s="13"/>
      <c r="Q9" s="13"/>
      <c r="R9" s="13"/>
      <c r="S9" s="13"/>
      <c r="T9" s="12"/>
      <c r="U9" s="13"/>
      <c r="V9" s="13"/>
      <c r="W9" s="13"/>
      <c r="X9" s="14"/>
      <c r="Y9" s="13"/>
      <c r="Z9" s="13"/>
      <c r="AA9" s="13"/>
      <c r="AB9" s="13"/>
      <c r="AC9" s="14"/>
      <c r="AD9" s="13"/>
      <c r="AE9" s="13"/>
      <c r="AF9" s="13"/>
      <c r="AG9" s="13"/>
      <c r="AH9" s="13"/>
      <c r="AI9" s="12"/>
      <c r="AJ9" s="13"/>
      <c r="AK9" s="13"/>
      <c r="AL9" s="13"/>
      <c r="AM9" s="14"/>
      <c r="AN9" s="13"/>
      <c r="AO9" s="13"/>
      <c r="AP9" s="13"/>
      <c r="AQ9" s="13"/>
      <c r="AR9" s="13"/>
      <c r="AS9" s="12"/>
      <c r="AT9" s="13"/>
      <c r="AU9" s="13"/>
      <c r="AV9" s="13"/>
      <c r="AW9" s="14"/>
      <c r="AX9" s="13"/>
      <c r="AY9" s="13"/>
      <c r="AZ9" s="13"/>
      <c r="BA9" s="13"/>
      <c r="BB9" s="15"/>
      <c r="BC9" s="17" t="s">
        <v>5</v>
      </c>
      <c r="BD9" s="15" t="s">
        <v>5</v>
      </c>
      <c r="BE9" s="15" t="s">
        <v>5</v>
      </c>
      <c r="BF9" s="15" t="s">
        <v>5</v>
      </c>
      <c r="BG9" s="16" t="s">
        <v>5</v>
      </c>
      <c r="BH9" s="17" t="s">
        <v>5</v>
      </c>
      <c r="BI9" s="15" t="s">
        <v>5</v>
      </c>
      <c r="BJ9" s="15" t="s">
        <v>5</v>
      </c>
      <c r="BK9" s="15" t="s">
        <v>5</v>
      </c>
      <c r="BL9" s="10" t="s">
        <v>6</v>
      </c>
      <c r="BM9" s="18"/>
      <c r="BN9" s="19"/>
      <c r="BO9" s="19"/>
      <c r="BP9" s="19"/>
      <c r="BQ9" s="20"/>
      <c r="BR9" s="19"/>
      <c r="BS9" s="19"/>
      <c r="BT9" s="19"/>
      <c r="BU9" s="19"/>
      <c r="BV9" s="19"/>
      <c r="BW9" s="12"/>
      <c r="BX9" s="13"/>
      <c r="BY9" s="13"/>
      <c r="BZ9" s="13"/>
      <c r="CA9" s="14"/>
      <c r="CB9" s="13"/>
      <c r="CC9" s="13"/>
      <c r="CD9" s="13"/>
      <c r="CE9" s="13"/>
      <c r="CF9" s="14"/>
      <c r="CG9" s="13"/>
      <c r="CH9" s="13"/>
      <c r="CI9" s="14"/>
      <c r="CJ9" s="13"/>
      <c r="CK9" s="13"/>
    </row>
    <row r="10" hidden="1">
      <c r="A10" s="21"/>
      <c r="B10" s="21" t="s">
        <v>11</v>
      </c>
      <c r="C10" s="21"/>
      <c r="D10" s="21"/>
      <c r="E10" s="13"/>
      <c r="F10" s="13"/>
      <c r="G10" s="13"/>
      <c r="H10" s="13"/>
      <c r="I10" s="14"/>
      <c r="J10" s="12"/>
      <c r="K10" s="13"/>
      <c r="L10" s="13"/>
      <c r="M10" s="13"/>
      <c r="N10" s="14"/>
      <c r="O10" s="12"/>
      <c r="P10" s="13"/>
      <c r="Q10" s="13"/>
      <c r="R10" s="13"/>
      <c r="S10" s="13"/>
      <c r="T10" s="12"/>
      <c r="U10" s="13"/>
      <c r="V10" s="13"/>
      <c r="W10" s="13"/>
      <c r="X10" s="14"/>
      <c r="Y10" s="13"/>
      <c r="Z10" s="13"/>
      <c r="AA10" s="13"/>
      <c r="AB10" s="13"/>
      <c r="AC10" s="14"/>
      <c r="AD10" s="13"/>
      <c r="AE10" s="13"/>
      <c r="AF10" s="13"/>
      <c r="AG10" s="13"/>
      <c r="AH10" s="13"/>
      <c r="AI10" s="12"/>
      <c r="AJ10" s="13"/>
      <c r="AK10" s="13"/>
      <c r="AL10" s="13"/>
      <c r="AM10" s="14"/>
      <c r="AN10" s="13"/>
      <c r="AO10" s="13"/>
      <c r="AP10" s="13"/>
      <c r="AQ10" s="13"/>
      <c r="AR10" s="13"/>
      <c r="AS10" s="12"/>
      <c r="AT10" s="13"/>
      <c r="AU10" s="13"/>
      <c r="AV10" s="13"/>
      <c r="AW10" s="14"/>
      <c r="AX10" s="13"/>
      <c r="AY10" s="13"/>
      <c r="AZ10" s="13"/>
      <c r="BA10" s="13"/>
      <c r="BB10" s="13"/>
      <c r="BC10" s="12"/>
      <c r="BD10" s="13"/>
      <c r="BE10" s="13"/>
      <c r="BF10" s="13"/>
      <c r="BG10" s="14"/>
      <c r="BH10" s="12"/>
      <c r="BI10" s="13"/>
      <c r="BJ10" s="13"/>
      <c r="BK10" s="13"/>
      <c r="BL10" s="16"/>
      <c r="BM10" s="17" t="s">
        <v>5</v>
      </c>
      <c r="BN10" s="15" t="s">
        <v>5</v>
      </c>
      <c r="BO10" s="15" t="s">
        <v>5</v>
      </c>
      <c r="BP10" s="15" t="s">
        <v>5</v>
      </c>
      <c r="BQ10" s="16" t="s">
        <v>5</v>
      </c>
      <c r="BR10" s="15" t="s">
        <v>5</v>
      </c>
      <c r="BS10" s="15" t="s">
        <v>5</v>
      </c>
      <c r="BT10" s="15" t="s">
        <v>5</v>
      </c>
      <c r="BU10" s="15" t="s">
        <v>5</v>
      </c>
      <c r="BV10" s="9" t="s">
        <v>6</v>
      </c>
      <c r="BW10" s="18"/>
      <c r="BX10" s="19"/>
      <c r="BY10" s="19"/>
      <c r="BZ10" s="19"/>
      <c r="CA10" s="20"/>
      <c r="CB10" s="19"/>
      <c r="CC10" s="19"/>
      <c r="CD10" s="19"/>
      <c r="CE10" s="19"/>
      <c r="CF10" s="20"/>
      <c r="CG10" s="19"/>
      <c r="CH10" s="19"/>
      <c r="CI10" s="20"/>
      <c r="CJ10" s="13"/>
      <c r="CK10" s="13"/>
    </row>
    <row r="11" hidden="1">
      <c r="A11" s="21"/>
      <c r="C11" s="21"/>
      <c r="D11" s="21"/>
      <c r="E11" s="13"/>
      <c r="F11" s="13"/>
      <c r="G11" s="13"/>
      <c r="H11" s="13"/>
      <c r="I11" s="14"/>
      <c r="J11" s="12"/>
      <c r="K11" s="13"/>
      <c r="L11" s="13"/>
      <c r="M11" s="13"/>
      <c r="N11" s="14"/>
      <c r="O11" s="12"/>
      <c r="P11" s="13"/>
      <c r="Q11" s="13"/>
      <c r="R11" s="13"/>
      <c r="S11" s="13"/>
      <c r="T11" s="12"/>
      <c r="U11" s="13"/>
      <c r="V11" s="13"/>
      <c r="W11" s="13"/>
      <c r="X11" s="14"/>
      <c r="Y11" s="13"/>
      <c r="Z11" s="13"/>
      <c r="AA11" s="13"/>
      <c r="AB11" s="13"/>
      <c r="AC11" s="14"/>
      <c r="AD11" s="13"/>
      <c r="AE11" s="13"/>
      <c r="AF11" s="13"/>
      <c r="AG11" s="13"/>
      <c r="AH11" s="13"/>
      <c r="AI11" s="12"/>
      <c r="AJ11" s="13"/>
      <c r="AK11" s="13"/>
      <c r="AL11" s="13"/>
      <c r="AM11" s="14"/>
      <c r="AN11" s="13"/>
      <c r="AO11" s="13"/>
      <c r="AP11" s="13"/>
      <c r="AQ11" s="13"/>
      <c r="AR11" s="13"/>
      <c r="AS11" s="12"/>
      <c r="AT11" s="13"/>
      <c r="AU11" s="13"/>
      <c r="AV11" s="13"/>
      <c r="AW11" s="14"/>
      <c r="AX11" s="13"/>
      <c r="AY11" s="13"/>
      <c r="AZ11" s="13"/>
      <c r="BA11" s="13"/>
      <c r="BB11" s="13"/>
      <c r="BC11" s="12"/>
      <c r="BD11" s="13"/>
      <c r="BE11" s="13"/>
      <c r="BF11" s="13"/>
      <c r="BG11" s="14"/>
      <c r="BH11" s="12"/>
      <c r="BI11" s="13"/>
      <c r="BJ11" s="13"/>
      <c r="BK11" s="13"/>
      <c r="BL11" s="14"/>
      <c r="BM11" s="12"/>
      <c r="BN11" s="13"/>
      <c r="BO11" s="13"/>
      <c r="BP11" s="13"/>
      <c r="BQ11" s="14"/>
      <c r="BR11" s="13"/>
      <c r="BS11" s="13"/>
      <c r="BT11" s="13"/>
      <c r="BU11" s="13"/>
      <c r="BV11" s="15"/>
      <c r="BW11" s="17" t="s">
        <v>5</v>
      </c>
      <c r="BX11" s="15" t="s">
        <v>5</v>
      </c>
      <c r="BY11" s="15" t="s">
        <v>5</v>
      </c>
      <c r="BZ11" s="15" t="s">
        <v>5</v>
      </c>
      <c r="CA11" s="16" t="s">
        <v>5</v>
      </c>
      <c r="CB11" s="15" t="s">
        <v>5</v>
      </c>
      <c r="CC11" s="15" t="s">
        <v>5</v>
      </c>
      <c r="CD11" s="15" t="s">
        <v>5</v>
      </c>
      <c r="CE11" s="15" t="s">
        <v>5</v>
      </c>
      <c r="CF11" s="16" t="s">
        <v>5</v>
      </c>
      <c r="CG11" s="15" t="s">
        <v>5</v>
      </c>
      <c r="CH11" s="9"/>
      <c r="CI11" s="10" t="s">
        <v>6</v>
      </c>
      <c r="CJ11" s="13"/>
      <c r="CK11" s="13"/>
    </row>
    <row r="12" hidden="1">
      <c r="A12" s="21"/>
      <c r="C12" s="21"/>
      <c r="D12" s="21"/>
      <c r="E12" s="22"/>
      <c r="F12" s="22"/>
      <c r="G12" s="22"/>
      <c r="H12" s="22"/>
      <c r="I12" s="23"/>
      <c r="J12" s="24"/>
      <c r="K12" s="22"/>
      <c r="L12" s="22"/>
      <c r="M12" s="22"/>
      <c r="N12" s="23"/>
      <c r="O12" s="24"/>
      <c r="P12" s="22"/>
      <c r="Q12" s="22"/>
      <c r="R12" s="22"/>
      <c r="S12" s="22"/>
      <c r="T12" s="24"/>
      <c r="U12" s="22"/>
      <c r="V12" s="22"/>
      <c r="W12" s="22"/>
      <c r="X12" s="23"/>
      <c r="Y12" s="22"/>
      <c r="Z12" s="22"/>
      <c r="AA12" s="22"/>
      <c r="AB12" s="22"/>
      <c r="AC12" s="23"/>
      <c r="AD12" s="22"/>
      <c r="AE12" s="22"/>
      <c r="AF12" s="22"/>
      <c r="AG12" s="22"/>
      <c r="AH12" s="22"/>
      <c r="AI12" s="24"/>
      <c r="AJ12" s="22"/>
      <c r="AK12" s="22"/>
      <c r="AL12" s="22"/>
      <c r="AM12" s="23"/>
      <c r="AN12" s="22"/>
      <c r="AO12" s="22"/>
      <c r="AP12" s="22"/>
      <c r="AQ12" s="22"/>
      <c r="AR12" s="22"/>
      <c r="AS12" s="24"/>
      <c r="AT12" s="22"/>
      <c r="AU12" s="22"/>
      <c r="AV12" s="22"/>
      <c r="AW12" s="23"/>
      <c r="AX12" s="22"/>
      <c r="AY12" s="22"/>
      <c r="AZ12" s="22"/>
      <c r="BA12" s="22"/>
      <c r="BB12" s="22"/>
      <c r="BC12" s="24"/>
      <c r="BD12" s="22"/>
      <c r="BE12" s="22"/>
      <c r="BF12" s="22"/>
      <c r="BG12" s="23"/>
      <c r="BH12" s="24"/>
      <c r="BI12" s="22"/>
      <c r="BJ12" s="22"/>
      <c r="BK12" s="22"/>
      <c r="BL12" s="23"/>
      <c r="BM12" s="24"/>
      <c r="BN12" s="22"/>
      <c r="BO12" s="22"/>
      <c r="BP12" s="22"/>
      <c r="BQ12" s="23"/>
      <c r="BR12" s="22"/>
      <c r="BS12" s="22"/>
      <c r="BT12" s="22"/>
      <c r="BU12" s="22"/>
      <c r="BV12" s="22"/>
      <c r="BW12" s="24"/>
      <c r="BX12" s="22"/>
      <c r="BY12" s="22"/>
      <c r="BZ12" s="22"/>
      <c r="CA12" s="23"/>
      <c r="CB12" s="22"/>
      <c r="CC12" s="22"/>
      <c r="CD12" s="22"/>
      <c r="CE12" s="22"/>
      <c r="CF12" s="23"/>
      <c r="CG12" s="22"/>
      <c r="CH12" s="25"/>
      <c r="CI12" s="26"/>
      <c r="CJ12" s="13"/>
      <c r="CK12" s="13"/>
    </row>
    <row r="13" hidden="1"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</row>
    <row r="14" hidden="1">
      <c r="E14" s="28" t="s">
        <v>12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30"/>
      <c r="U14" s="31" t="s">
        <v>13</v>
      </c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3"/>
      <c r="AN14" s="34" t="s">
        <v>14</v>
      </c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30"/>
      <c r="BM14" s="34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30"/>
      <c r="CJ14" s="27"/>
      <c r="CK14" s="27"/>
    </row>
    <row r="15" hidden="1">
      <c r="E15" s="35">
        <v>7.0</v>
      </c>
      <c r="F15" s="35">
        <f t="shared" ref="F15:I15" si="18">E15+1</f>
        <v>8</v>
      </c>
      <c r="G15" s="35">
        <f t="shared" si="18"/>
        <v>9</v>
      </c>
      <c r="H15" s="35">
        <f t="shared" si="18"/>
        <v>10</v>
      </c>
      <c r="I15" s="36">
        <f t="shared" si="18"/>
        <v>11</v>
      </c>
      <c r="J15" s="37">
        <f>I15+3</f>
        <v>14</v>
      </c>
      <c r="K15" s="35">
        <f t="shared" ref="K15:N15" si="19">J15+1</f>
        <v>15</v>
      </c>
      <c r="L15" s="35">
        <f t="shared" si="19"/>
        <v>16</v>
      </c>
      <c r="M15" s="35">
        <f t="shared" si="19"/>
        <v>17</v>
      </c>
      <c r="N15" s="36">
        <f t="shared" si="19"/>
        <v>18</v>
      </c>
      <c r="O15" s="37">
        <f>N15+3</f>
        <v>21</v>
      </c>
      <c r="P15" s="35">
        <f t="shared" ref="P15:S15" si="20">O15+1</f>
        <v>22</v>
      </c>
      <c r="Q15" s="35">
        <f t="shared" si="20"/>
        <v>23</v>
      </c>
      <c r="R15" s="35">
        <f t="shared" si="20"/>
        <v>24</v>
      </c>
      <c r="S15" s="35">
        <f t="shared" si="20"/>
        <v>25</v>
      </c>
      <c r="T15" s="37">
        <f>S15+3</f>
        <v>28</v>
      </c>
      <c r="U15" s="35">
        <v>1.0</v>
      </c>
      <c r="V15" s="35">
        <f t="shared" ref="V15:X15" si="21">U15+1</f>
        <v>2</v>
      </c>
      <c r="W15" s="35">
        <f t="shared" si="21"/>
        <v>3</v>
      </c>
      <c r="X15" s="36">
        <f t="shared" si="21"/>
        <v>4</v>
      </c>
      <c r="Y15" s="35">
        <v>7.0</v>
      </c>
      <c r="Z15" s="35">
        <f t="shared" ref="Z15:AC15" si="22">Y15+1</f>
        <v>8</v>
      </c>
      <c r="AA15" s="35">
        <f t="shared" si="22"/>
        <v>9</v>
      </c>
      <c r="AB15" s="35">
        <f t="shared" si="22"/>
        <v>10</v>
      </c>
      <c r="AC15" s="36">
        <f t="shared" si="22"/>
        <v>11</v>
      </c>
      <c r="AD15" s="37">
        <f>AC15+3</f>
        <v>14</v>
      </c>
      <c r="AE15" s="35">
        <f t="shared" ref="AE15:AH15" si="23">AD15+1</f>
        <v>15</v>
      </c>
      <c r="AF15" s="35">
        <f t="shared" si="23"/>
        <v>16</v>
      </c>
      <c r="AG15" s="35">
        <f t="shared" si="23"/>
        <v>17</v>
      </c>
      <c r="AH15" s="36">
        <f t="shared" si="23"/>
        <v>18</v>
      </c>
      <c r="AI15" s="37">
        <f>AH15+3</f>
        <v>21</v>
      </c>
      <c r="AJ15" s="35">
        <f t="shared" ref="AJ15:AM15" si="24">AI15+1</f>
        <v>22</v>
      </c>
      <c r="AK15" s="35">
        <f t="shared" si="24"/>
        <v>23</v>
      </c>
      <c r="AL15" s="35">
        <f t="shared" si="24"/>
        <v>24</v>
      </c>
      <c r="AM15" s="36">
        <f t="shared" si="24"/>
        <v>25</v>
      </c>
      <c r="AN15" s="37">
        <v>28.0</v>
      </c>
      <c r="AO15" s="35">
        <f t="shared" ref="AO15:AQ15" si="25">AN15+1</f>
        <v>29</v>
      </c>
      <c r="AP15" s="35">
        <f t="shared" si="25"/>
        <v>30</v>
      </c>
      <c r="AQ15" s="35">
        <f t="shared" si="25"/>
        <v>31</v>
      </c>
      <c r="AR15" s="36">
        <v>1.0</v>
      </c>
      <c r="AS15" s="37">
        <f>AR15+3</f>
        <v>4</v>
      </c>
      <c r="AT15" s="35">
        <f t="shared" ref="AT15:AW15" si="26">AS15+1</f>
        <v>5</v>
      </c>
      <c r="AU15" s="35">
        <f t="shared" si="26"/>
        <v>6</v>
      </c>
      <c r="AV15" s="35">
        <f t="shared" si="26"/>
        <v>7</v>
      </c>
      <c r="AW15" s="36">
        <f t="shared" si="26"/>
        <v>8</v>
      </c>
      <c r="AX15" s="37">
        <f>AW15+3</f>
        <v>11</v>
      </c>
      <c r="AY15" s="35">
        <f t="shared" ref="AY15:BB15" si="27">AX15+1</f>
        <v>12</v>
      </c>
      <c r="AZ15" s="35">
        <f t="shared" si="27"/>
        <v>13</v>
      </c>
      <c r="BA15" s="35">
        <f t="shared" si="27"/>
        <v>14</v>
      </c>
      <c r="BB15" s="36">
        <f t="shared" si="27"/>
        <v>15</v>
      </c>
      <c r="BC15" s="37">
        <f>BB15+3</f>
        <v>18</v>
      </c>
      <c r="BD15" s="35">
        <f t="shared" ref="BD15:BG15" si="28">BC15+1</f>
        <v>19</v>
      </c>
      <c r="BE15" s="35">
        <f t="shared" si="28"/>
        <v>20</v>
      </c>
      <c r="BF15" s="35">
        <f t="shared" si="28"/>
        <v>21</v>
      </c>
      <c r="BG15" s="36">
        <f t="shared" si="28"/>
        <v>22</v>
      </c>
      <c r="BH15" s="37">
        <f>BG15+3</f>
        <v>25</v>
      </c>
      <c r="BI15" s="35">
        <f t="shared" ref="BI15:BL15" si="29">BH15+1</f>
        <v>26</v>
      </c>
      <c r="BJ15" s="35">
        <f t="shared" si="29"/>
        <v>27</v>
      </c>
      <c r="BK15" s="35">
        <f t="shared" si="29"/>
        <v>28</v>
      </c>
      <c r="BL15" s="36">
        <f t="shared" si="29"/>
        <v>29</v>
      </c>
      <c r="BM15" s="37">
        <v>2.0</v>
      </c>
      <c r="BN15" s="35">
        <f t="shared" ref="BN15:BQ15" si="30">BM15+1</f>
        <v>3</v>
      </c>
      <c r="BO15" s="35">
        <f t="shared" si="30"/>
        <v>4</v>
      </c>
      <c r="BP15" s="35">
        <f t="shared" si="30"/>
        <v>5</v>
      </c>
      <c r="BQ15" s="36">
        <f t="shared" si="30"/>
        <v>6</v>
      </c>
      <c r="BR15" s="37">
        <f>BQ15+3</f>
        <v>9</v>
      </c>
      <c r="BS15" s="35">
        <f t="shared" ref="BS15:BV15" si="31">BR15+1</f>
        <v>10</v>
      </c>
      <c r="BT15" s="35">
        <f t="shared" si="31"/>
        <v>11</v>
      </c>
      <c r="BU15" s="35">
        <f t="shared" si="31"/>
        <v>12</v>
      </c>
      <c r="BV15" s="36">
        <f t="shared" si="31"/>
        <v>13</v>
      </c>
      <c r="BW15" s="37">
        <f>BV15+3</f>
        <v>16</v>
      </c>
      <c r="BX15" s="35">
        <f t="shared" ref="BX15:CA15" si="32">BW15+1</f>
        <v>17</v>
      </c>
      <c r="BY15" s="35">
        <f t="shared" si="32"/>
        <v>18</v>
      </c>
      <c r="BZ15" s="35">
        <f t="shared" si="32"/>
        <v>19</v>
      </c>
      <c r="CA15" s="36">
        <f t="shared" si="32"/>
        <v>20</v>
      </c>
      <c r="CB15" s="37">
        <f>CA15+3</f>
        <v>23</v>
      </c>
      <c r="CC15" s="35">
        <f t="shared" ref="CC15:CF15" si="33">CB15+1</f>
        <v>24</v>
      </c>
      <c r="CD15" s="35">
        <f t="shared" si="33"/>
        <v>25</v>
      </c>
      <c r="CE15" s="35">
        <f t="shared" si="33"/>
        <v>26</v>
      </c>
      <c r="CF15" s="36">
        <f t="shared" si="33"/>
        <v>27</v>
      </c>
      <c r="CG15" s="35">
        <v>30.0</v>
      </c>
      <c r="CH15" s="35"/>
      <c r="CI15" s="36">
        <v>31.0</v>
      </c>
      <c r="CJ15" s="27"/>
      <c r="CK15" s="27"/>
    </row>
    <row r="16">
      <c r="C16" s="2"/>
      <c r="D16" s="2"/>
      <c r="E16" s="9" t="s">
        <v>6</v>
      </c>
      <c r="F16" s="9"/>
      <c r="G16" s="9"/>
      <c r="H16" s="9"/>
      <c r="I16" s="10"/>
      <c r="J16" s="11"/>
      <c r="K16" s="9"/>
      <c r="L16" s="9"/>
      <c r="M16" s="9"/>
      <c r="N16" s="10"/>
      <c r="O16" s="12"/>
      <c r="P16" s="13"/>
      <c r="Q16" s="13"/>
      <c r="R16" s="13"/>
      <c r="S16" s="13"/>
      <c r="T16" s="12"/>
      <c r="U16" s="13"/>
      <c r="V16" s="13"/>
      <c r="W16" s="13"/>
      <c r="X16" s="14"/>
      <c r="Y16" s="13"/>
      <c r="Z16" s="13"/>
      <c r="AA16" s="13"/>
      <c r="AB16" s="13"/>
      <c r="AC16" s="14"/>
      <c r="AD16" s="13"/>
      <c r="AE16" s="13"/>
      <c r="AF16" s="13"/>
      <c r="AG16" s="13"/>
      <c r="AH16" s="13"/>
      <c r="AI16" s="12"/>
      <c r="AJ16" s="13"/>
      <c r="AK16" s="13"/>
      <c r="AL16" s="13"/>
      <c r="AM16" s="14"/>
      <c r="AN16" s="13"/>
      <c r="AO16" s="13"/>
      <c r="AP16" s="13"/>
      <c r="AQ16" s="13"/>
      <c r="AR16" s="13"/>
      <c r="AS16" s="12"/>
      <c r="AT16" s="13"/>
      <c r="AU16" s="13"/>
      <c r="AV16" s="13"/>
      <c r="AW16" s="14"/>
      <c r="AX16" s="13"/>
      <c r="AY16" s="13"/>
      <c r="AZ16" s="13"/>
      <c r="BA16" s="13"/>
      <c r="BB16" s="13"/>
      <c r="BC16" s="12"/>
      <c r="BD16" s="13"/>
      <c r="BE16" s="13"/>
      <c r="BF16" s="13"/>
      <c r="BG16" s="14"/>
      <c r="BH16" s="12"/>
      <c r="BI16" s="13"/>
      <c r="BJ16" s="13"/>
      <c r="BK16" s="13"/>
      <c r="BL16" s="14"/>
      <c r="BM16" s="12"/>
      <c r="BN16" s="13"/>
      <c r="BO16" s="13"/>
      <c r="BP16" s="13"/>
      <c r="BQ16" s="14"/>
      <c r="BR16" s="13"/>
      <c r="BS16" s="13"/>
      <c r="BT16" s="13"/>
      <c r="BU16" s="13"/>
      <c r="BV16" s="13"/>
      <c r="BW16" s="12"/>
      <c r="BX16" s="13"/>
      <c r="BY16" s="13"/>
      <c r="BZ16" s="13"/>
      <c r="CA16" s="14"/>
      <c r="CB16" s="13"/>
      <c r="CC16" s="13"/>
      <c r="CD16" s="13"/>
      <c r="CE16" s="13"/>
      <c r="CF16" s="14"/>
      <c r="CG16" s="13"/>
      <c r="CH16" s="13"/>
      <c r="CI16" s="14"/>
      <c r="CJ16" s="13"/>
      <c r="CK16" s="13"/>
    </row>
    <row r="17">
      <c r="A17" s="38">
        <v>45690.0</v>
      </c>
      <c r="B17" s="3" t="s">
        <v>15</v>
      </c>
      <c r="C17" s="2">
        <v>1.0</v>
      </c>
      <c r="D17" s="38">
        <f t="shared" ref="D17:D22" si="34">A17+7*C17</f>
        <v>45697</v>
      </c>
      <c r="E17" s="9" t="s">
        <v>5</v>
      </c>
      <c r="F17" s="15" t="s">
        <v>5</v>
      </c>
      <c r="G17" s="15" t="s">
        <v>5</v>
      </c>
      <c r="H17" s="15" t="s">
        <v>5</v>
      </c>
      <c r="I17" s="10" t="s">
        <v>5</v>
      </c>
      <c r="J17" s="11" t="s">
        <v>6</v>
      </c>
      <c r="K17" s="9"/>
      <c r="L17" s="9"/>
      <c r="M17" s="9"/>
      <c r="N17" s="10"/>
      <c r="O17" s="11"/>
      <c r="P17" s="9"/>
      <c r="Q17" s="9"/>
      <c r="R17" s="9"/>
      <c r="S17" s="9"/>
      <c r="T17" s="18"/>
      <c r="U17" s="19"/>
      <c r="V17" s="19"/>
      <c r="W17" s="19"/>
      <c r="X17" s="20"/>
      <c r="Y17" s="13"/>
      <c r="Z17" s="13"/>
      <c r="AA17" s="13"/>
      <c r="AB17" s="13"/>
      <c r="AC17" s="14"/>
      <c r="AD17" s="13"/>
      <c r="AE17" s="13"/>
      <c r="AF17" s="13"/>
      <c r="AG17" s="13"/>
      <c r="AH17" s="13"/>
      <c r="AI17" s="12"/>
      <c r="AJ17" s="13"/>
      <c r="AK17" s="13"/>
      <c r="AL17" s="13"/>
      <c r="AM17" s="14"/>
      <c r="AN17" s="13"/>
      <c r="AO17" s="13"/>
      <c r="AP17" s="13"/>
      <c r="AQ17" s="13"/>
      <c r="AR17" s="13"/>
      <c r="AS17" s="12"/>
      <c r="AT17" s="13"/>
      <c r="AU17" s="13"/>
      <c r="AV17" s="13"/>
      <c r="AW17" s="14"/>
      <c r="AX17" s="13"/>
      <c r="AY17" s="13"/>
      <c r="AZ17" s="13"/>
      <c r="BA17" s="13"/>
      <c r="BB17" s="13"/>
      <c r="BC17" s="12"/>
      <c r="BD17" s="13"/>
      <c r="BE17" s="13"/>
      <c r="BF17" s="13"/>
      <c r="BG17" s="14"/>
      <c r="BH17" s="12"/>
      <c r="BI17" s="13"/>
      <c r="BJ17" s="13"/>
      <c r="BK17" s="13"/>
      <c r="BL17" s="14"/>
      <c r="BM17" s="12"/>
      <c r="BN17" s="13"/>
      <c r="BO17" s="13"/>
      <c r="BP17" s="13"/>
      <c r="BQ17" s="14"/>
      <c r="BR17" s="13"/>
      <c r="BS17" s="13"/>
      <c r="BT17" s="13"/>
      <c r="BU17" s="13"/>
      <c r="BV17" s="13"/>
      <c r="BW17" s="12"/>
      <c r="BX17" s="13"/>
      <c r="BY17" s="13"/>
      <c r="BZ17" s="13"/>
      <c r="CA17" s="14"/>
      <c r="CB17" s="13"/>
      <c r="CC17" s="13"/>
      <c r="CD17" s="13"/>
      <c r="CE17" s="13"/>
      <c r="CF17" s="14"/>
      <c r="CG17" s="13"/>
      <c r="CH17" s="13"/>
      <c r="CI17" s="14"/>
      <c r="CJ17" s="13"/>
      <c r="CK17" s="13"/>
    </row>
    <row r="18">
      <c r="A18" s="38">
        <f t="shared" ref="A18:A22" si="35">D17</f>
        <v>45697</v>
      </c>
      <c r="B18" s="3" t="s">
        <v>16</v>
      </c>
      <c r="C18" s="2">
        <v>1.0</v>
      </c>
      <c r="D18" s="38">
        <f t="shared" si="34"/>
        <v>45704</v>
      </c>
      <c r="E18" s="13"/>
      <c r="F18" s="13"/>
      <c r="G18" s="13"/>
      <c r="H18" s="13"/>
      <c r="I18" s="16"/>
      <c r="J18" s="11" t="s">
        <v>5</v>
      </c>
      <c r="K18" s="9" t="s">
        <v>5</v>
      </c>
      <c r="L18" s="9" t="s">
        <v>5</v>
      </c>
      <c r="M18" s="9" t="s">
        <v>5</v>
      </c>
      <c r="N18" s="10" t="s">
        <v>5</v>
      </c>
      <c r="O18" s="11" t="s">
        <v>6</v>
      </c>
      <c r="P18" s="9"/>
      <c r="Q18" s="9"/>
      <c r="R18" s="9"/>
      <c r="S18" s="9"/>
      <c r="T18" s="17"/>
      <c r="U18" s="15"/>
      <c r="V18" s="15"/>
      <c r="W18" s="15"/>
      <c r="X18" s="16"/>
      <c r="Y18" s="9"/>
      <c r="Z18" s="9"/>
      <c r="AA18" s="9"/>
      <c r="AB18" s="9"/>
      <c r="AC18" s="10"/>
      <c r="AD18" s="19"/>
      <c r="AE18" s="19"/>
      <c r="AF18" s="19"/>
      <c r="AG18" s="19"/>
      <c r="AH18" s="19"/>
      <c r="AI18" s="12"/>
      <c r="AJ18" s="13"/>
      <c r="AK18" s="13"/>
      <c r="AL18" s="13"/>
      <c r="AM18" s="14"/>
      <c r="AN18" s="13"/>
      <c r="AO18" s="13"/>
      <c r="AP18" s="13"/>
      <c r="AQ18" s="13"/>
      <c r="AR18" s="13"/>
      <c r="AS18" s="12"/>
      <c r="AT18" s="13"/>
      <c r="AU18" s="13"/>
      <c r="AV18" s="13"/>
      <c r="AW18" s="14"/>
      <c r="AX18" s="13"/>
      <c r="AY18" s="13"/>
      <c r="AZ18" s="13"/>
      <c r="BA18" s="13"/>
      <c r="BB18" s="13"/>
      <c r="BC18" s="12"/>
      <c r="BD18" s="13"/>
      <c r="BE18" s="13"/>
      <c r="BF18" s="13"/>
      <c r="BG18" s="14"/>
      <c r="BH18" s="12"/>
      <c r="BI18" s="13"/>
      <c r="BJ18" s="13"/>
      <c r="BK18" s="13"/>
      <c r="BL18" s="14"/>
      <c r="BM18" s="12"/>
      <c r="BN18" s="13"/>
      <c r="BO18" s="13"/>
      <c r="BP18" s="13"/>
      <c r="BQ18" s="14"/>
      <c r="BR18" s="13"/>
      <c r="BS18" s="13"/>
      <c r="BT18" s="13"/>
      <c r="BU18" s="13"/>
      <c r="BV18" s="13"/>
      <c r="BW18" s="12"/>
      <c r="BX18" s="13"/>
      <c r="BY18" s="13"/>
      <c r="BZ18" s="13"/>
      <c r="CA18" s="14"/>
      <c r="CB18" s="13"/>
      <c r="CC18" s="13"/>
      <c r="CD18" s="13"/>
      <c r="CE18" s="13"/>
      <c r="CF18" s="14"/>
      <c r="CG18" s="13"/>
      <c r="CH18" s="13"/>
      <c r="CI18" s="14"/>
      <c r="CJ18" s="13"/>
      <c r="CK18" s="13"/>
    </row>
    <row r="19">
      <c r="A19" s="38">
        <f t="shared" si="35"/>
        <v>45704</v>
      </c>
      <c r="B19" s="3" t="s">
        <v>8</v>
      </c>
      <c r="C19" s="2">
        <v>4.0</v>
      </c>
      <c r="D19" s="38">
        <f t="shared" si="34"/>
        <v>45732</v>
      </c>
      <c r="E19" s="13"/>
      <c r="F19" s="13"/>
      <c r="G19" s="13"/>
      <c r="H19" s="13"/>
      <c r="I19" s="14"/>
      <c r="J19" s="12"/>
      <c r="K19" s="13"/>
      <c r="L19" s="13"/>
      <c r="M19" s="13"/>
      <c r="N19" s="14"/>
      <c r="O19" s="9" t="s">
        <v>5</v>
      </c>
      <c r="P19" s="9" t="s">
        <v>5</v>
      </c>
      <c r="Q19" s="9" t="s">
        <v>5</v>
      </c>
      <c r="R19" s="9" t="s">
        <v>5</v>
      </c>
      <c r="S19" s="9" t="s">
        <v>5</v>
      </c>
      <c r="T19" s="11" t="s">
        <v>5</v>
      </c>
      <c r="U19" s="9" t="s">
        <v>5</v>
      </c>
      <c r="V19" s="9" t="s">
        <v>5</v>
      </c>
      <c r="W19" s="9" t="s">
        <v>5</v>
      </c>
      <c r="X19" s="9" t="s">
        <v>5</v>
      </c>
      <c r="Y19" s="11" t="s">
        <v>5</v>
      </c>
      <c r="Z19" s="9" t="s">
        <v>5</v>
      </c>
      <c r="AA19" s="9" t="s">
        <v>5</v>
      </c>
      <c r="AB19" s="9" t="s">
        <v>5</v>
      </c>
      <c r="AC19" s="10" t="s">
        <v>5</v>
      </c>
      <c r="AD19" s="9" t="s">
        <v>5</v>
      </c>
      <c r="AE19" s="9" t="s">
        <v>5</v>
      </c>
      <c r="AF19" s="9" t="s">
        <v>5</v>
      </c>
      <c r="AG19" s="9" t="s">
        <v>5</v>
      </c>
      <c r="AH19" s="10" t="s">
        <v>5</v>
      </c>
      <c r="AI19" s="9" t="s">
        <v>6</v>
      </c>
      <c r="AJ19" s="9"/>
      <c r="AK19" s="9"/>
      <c r="AL19" s="9"/>
      <c r="AM19" s="9"/>
      <c r="AN19" s="11"/>
      <c r="AO19" s="9"/>
      <c r="AP19" s="9"/>
      <c r="AQ19" s="9"/>
      <c r="AR19" s="10"/>
      <c r="AS19" s="9"/>
      <c r="AT19" s="9"/>
      <c r="AU19" s="9"/>
      <c r="AV19" s="9"/>
      <c r="AW19" s="9"/>
      <c r="AX19" s="11"/>
      <c r="AY19" s="9"/>
      <c r="AZ19" s="9"/>
      <c r="BA19" s="9"/>
      <c r="BB19" s="10"/>
      <c r="BC19" s="19"/>
      <c r="BD19" s="19"/>
      <c r="BE19" s="19"/>
      <c r="BF19" s="19"/>
      <c r="BG19" s="19"/>
      <c r="BH19" s="12"/>
      <c r="BI19" s="13"/>
      <c r="BJ19" s="13"/>
      <c r="BK19" s="13"/>
      <c r="BL19" s="14"/>
      <c r="BM19" s="12"/>
      <c r="BN19" s="13"/>
      <c r="BO19" s="13"/>
      <c r="BP19" s="13"/>
      <c r="BQ19" s="14"/>
      <c r="BR19" s="12"/>
      <c r="BS19" s="13"/>
      <c r="BT19" s="13"/>
      <c r="BU19" s="13"/>
      <c r="BV19" s="14"/>
      <c r="BW19" s="13"/>
      <c r="BX19" s="13"/>
      <c r="BY19" s="13"/>
      <c r="BZ19" s="13"/>
      <c r="CA19" s="13"/>
      <c r="CB19" s="12"/>
      <c r="CC19" s="13"/>
      <c r="CD19" s="13"/>
      <c r="CE19" s="13"/>
      <c r="CF19" s="14"/>
      <c r="CG19" s="13"/>
      <c r="CH19" s="13"/>
      <c r="CI19" s="14"/>
      <c r="CJ19" s="13"/>
      <c r="CK19" s="13"/>
    </row>
    <row r="20">
      <c r="A20" s="38">
        <f t="shared" si="35"/>
        <v>45732</v>
      </c>
      <c r="B20" s="3" t="s">
        <v>9</v>
      </c>
      <c r="C20" s="2">
        <v>3.0</v>
      </c>
      <c r="D20" s="38">
        <f t="shared" si="34"/>
        <v>45753</v>
      </c>
      <c r="E20" s="13"/>
      <c r="F20" s="13"/>
      <c r="G20" s="13"/>
      <c r="H20" s="13"/>
      <c r="I20" s="14"/>
      <c r="J20" s="12"/>
      <c r="K20" s="13"/>
      <c r="L20" s="13"/>
      <c r="M20" s="13"/>
      <c r="N20" s="14"/>
      <c r="O20" s="13"/>
      <c r="P20" s="13"/>
      <c r="Q20" s="13"/>
      <c r="R20" s="13"/>
      <c r="S20" s="13"/>
      <c r="T20" s="12"/>
      <c r="U20" s="13"/>
      <c r="V20" s="13"/>
      <c r="W20" s="13"/>
      <c r="X20" s="13"/>
      <c r="Y20" s="12"/>
      <c r="Z20" s="13"/>
      <c r="AA20" s="13"/>
      <c r="AB20" s="13"/>
      <c r="AC20" s="14"/>
      <c r="AD20" s="13"/>
      <c r="AE20" s="13"/>
      <c r="AF20" s="13"/>
      <c r="AG20" s="13"/>
      <c r="AH20" s="14"/>
      <c r="AI20" s="9" t="s">
        <v>5</v>
      </c>
      <c r="AJ20" s="9" t="s">
        <v>5</v>
      </c>
      <c r="AK20" s="9" t="s">
        <v>5</v>
      </c>
      <c r="AL20" s="9" t="s">
        <v>5</v>
      </c>
      <c r="AM20" s="9" t="s">
        <v>5</v>
      </c>
      <c r="AN20" s="11" t="s">
        <v>5</v>
      </c>
      <c r="AO20" s="9" t="s">
        <v>5</v>
      </c>
      <c r="AP20" s="9" t="s">
        <v>5</v>
      </c>
      <c r="AQ20" s="9" t="s">
        <v>5</v>
      </c>
      <c r="AR20" s="10" t="s">
        <v>5</v>
      </c>
      <c r="AS20" s="9" t="s">
        <v>5</v>
      </c>
      <c r="AT20" s="9" t="s">
        <v>5</v>
      </c>
      <c r="AU20" s="9" t="s">
        <v>5</v>
      </c>
      <c r="AV20" s="9" t="s">
        <v>5</v>
      </c>
      <c r="AW20" s="9" t="s">
        <v>5</v>
      </c>
      <c r="AX20" s="11" t="s">
        <v>6</v>
      </c>
      <c r="AY20" s="9"/>
      <c r="AZ20" s="9"/>
      <c r="BA20" s="9"/>
      <c r="BB20" s="10"/>
      <c r="BC20" s="17"/>
      <c r="BD20" s="15"/>
      <c r="BE20" s="15"/>
      <c r="BF20" s="15"/>
      <c r="BG20" s="15"/>
      <c r="BH20" s="11"/>
      <c r="BI20" s="9"/>
      <c r="BJ20" s="9"/>
      <c r="BK20" s="9"/>
      <c r="BL20" s="10"/>
      <c r="BM20" s="18"/>
      <c r="BN20" s="19"/>
      <c r="BO20" s="19"/>
      <c r="BP20" s="19"/>
      <c r="BQ20" s="20"/>
      <c r="BR20" s="12"/>
      <c r="BS20" s="13"/>
      <c r="BT20" s="13"/>
      <c r="BU20" s="13"/>
      <c r="BV20" s="14"/>
      <c r="BW20" s="13"/>
      <c r="BX20" s="13"/>
      <c r="BY20" s="13"/>
      <c r="BZ20" s="13"/>
      <c r="CA20" s="13"/>
      <c r="CB20" s="12"/>
      <c r="CC20" s="13"/>
      <c r="CD20" s="13"/>
      <c r="CE20" s="13"/>
      <c r="CF20" s="14"/>
      <c r="CG20" s="13"/>
      <c r="CH20" s="13"/>
      <c r="CI20" s="14"/>
      <c r="CJ20" s="13"/>
      <c r="CK20" s="13"/>
    </row>
    <row r="21">
      <c r="A21" s="38">
        <f t="shared" si="35"/>
        <v>45753</v>
      </c>
      <c r="B21" s="3" t="s">
        <v>10</v>
      </c>
      <c r="C21" s="2">
        <v>3.0</v>
      </c>
      <c r="D21" s="38">
        <f t="shared" si="34"/>
        <v>45774</v>
      </c>
      <c r="E21" s="13"/>
      <c r="F21" s="13"/>
      <c r="G21" s="13"/>
      <c r="H21" s="13"/>
      <c r="I21" s="14"/>
      <c r="J21" s="12"/>
      <c r="K21" s="13"/>
      <c r="L21" s="13"/>
      <c r="M21" s="13"/>
      <c r="N21" s="14"/>
      <c r="O21" s="13"/>
      <c r="P21" s="13"/>
      <c r="Q21" s="13"/>
      <c r="R21" s="13"/>
      <c r="S21" s="13"/>
      <c r="T21" s="12"/>
      <c r="U21" s="13"/>
      <c r="V21" s="13"/>
      <c r="W21" s="13"/>
      <c r="X21" s="13"/>
      <c r="Y21" s="12"/>
      <c r="Z21" s="13"/>
      <c r="AA21" s="13"/>
      <c r="AB21" s="13"/>
      <c r="AC21" s="14"/>
      <c r="AD21" s="13"/>
      <c r="AE21" s="13"/>
      <c r="AF21" s="13"/>
      <c r="AG21" s="13"/>
      <c r="AH21" s="14"/>
      <c r="AI21" s="13"/>
      <c r="AJ21" s="13"/>
      <c r="AK21" s="13"/>
      <c r="AL21" s="13"/>
      <c r="AM21" s="13"/>
      <c r="AN21" s="12"/>
      <c r="AO21" s="13"/>
      <c r="AP21" s="13"/>
      <c r="AQ21" s="13"/>
      <c r="AR21" s="14"/>
      <c r="AS21" s="13"/>
      <c r="AT21" s="13"/>
      <c r="AU21" s="13"/>
      <c r="AV21" s="13"/>
      <c r="AW21" s="13"/>
      <c r="AX21" s="11" t="s">
        <v>5</v>
      </c>
      <c r="AY21" s="9" t="s">
        <v>5</v>
      </c>
      <c r="AZ21" s="9" t="s">
        <v>5</v>
      </c>
      <c r="BA21" s="9" t="s">
        <v>5</v>
      </c>
      <c r="BB21" s="10" t="s">
        <v>5</v>
      </c>
      <c r="BC21" s="9" t="s">
        <v>5</v>
      </c>
      <c r="BD21" s="9" t="s">
        <v>5</v>
      </c>
      <c r="BE21" s="9" t="s">
        <v>5</v>
      </c>
      <c r="BF21" s="9" t="s">
        <v>5</v>
      </c>
      <c r="BG21" s="9" t="s">
        <v>5</v>
      </c>
      <c r="BH21" s="11" t="s">
        <v>5</v>
      </c>
      <c r="BI21" s="9" t="s">
        <v>5</v>
      </c>
      <c r="BJ21" s="9" t="s">
        <v>5</v>
      </c>
      <c r="BK21" s="9" t="s">
        <v>5</v>
      </c>
      <c r="BL21" s="9" t="s">
        <v>5</v>
      </c>
      <c r="BM21" s="10" t="s">
        <v>6</v>
      </c>
      <c r="BN21" s="10" t="s">
        <v>6</v>
      </c>
      <c r="BO21" s="10" t="s">
        <v>6</v>
      </c>
      <c r="BP21" s="9"/>
      <c r="BQ21" s="10"/>
      <c r="BR21" s="11"/>
      <c r="BS21" s="9"/>
      <c r="BT21" s="9"/>
      <c r="BU21" s="9"/>
      <c r="BV21" s="10"/>
      <c r="BW21" s="19"/>
      <c r="BX21" s="19"/>
      <c r="BY21" s="19"/>
      <c r="BZ21" s="19"/>
      <c r="CA21" s="19"/>
      <c r="CB21" s="12"/>
      <c r="CC21" s="13"/>
      <c r="CD21" s="13"/>
      <c r="CE21" s="13"/>
      <c r="CF21" s="14"/>
      <c r="CG21" s="13"/>
      <c r="CH21" s="13"/>
      <c r="CI21" s="14"/>
      <c r="CJ21" s="13"/>
      <c r="CK21" s="13"/>
    </row>
    <row r="22">
      <c r="A22" s="38">
        <f t="shared" si="35"/>
        <v>45774</v>
      </c>
      <c r="B22" s="3" t="s">
        <v>11</v>
      </c>
      <c r="C22" s="2">
        <v>4.0</v>
      </c>
      <c r="D22" s="38">
        <f t="shared" si="34"/>
        <v>45802</v>
      </c>
      <c r="E22" s="13"/>
      <c r="F22" s="13"/>
      <c r="G22" s="13"/>
      <c r="H22" s="13"/>
      <c r="I22" s="14"/>
      <c r="J22" s="12"/>
      <c r="K22" s="13"/>
      <c r="L22" s="13"/>
      <c r="M22" s="13"/>
      <c r="N22" s="14"/>
      <c r="O22" s="13"/>
      <c r="P22" s="13"/>
      <c r="Q22" s="13"/>
      <c r="R22" s="13"/>
      <c r="S22" s="13"/>
      <c r="T22" s="12"/>
      <c r="U22" s="13"/>
      <c r="V22" s="13"/>
      <c r="W22" s="13"/>
      <c r="X22" s="13"/>
      <c r="Y22" s="12"/>
      <c r="Z22" s="13"/>
      <c r="AA22" s="13"/>
      <c r="AB22" s="13"/>
      <c r="AC22" s="14"/>
      <c r="AD22" s="13"/>
      <c r="AE22" s="13"/>
      <c r="AF22" s="13"/>
      <c r="AG22" s="13"/>
      <c r="AH22" s="14"/>
      <c r="AI22" s="13"/>
      <c r="AJ22" s="13"/>
      <c r="AK22" s="13"/>
      <c r="AL22" s="13"/>
      <c r="AM22" s="13"/>
      <c r="AN22" s="12"/>
      <c r="AO22" s="13"/>
      <c r="AP22" s="13"/>
      <c r="AQ22" s="13"/>
      <c r="AR22" s="14"/>
      <c r="AS22" s="13"/>
      <c r="AT22" s="13"/>
      <c r="AU22" s="13"/>
      <c r="AV22" s="13"/>
      <c r="AW22" s="13"/>
      <c r="AX22" s="12"/>
      <c r="AY22" s="13"/>
      <c r="AZ22" s="13"/>
      <c r="BA22" s="13"/>
      <c r="BB22" s="14"/>
      <c r="BC22" s="13"/>
      <c r="BD22" s="13"/>
      <c r="BE22" s="13"/>
      <c r="BF22" s="13"/>
      <c r="BG22" s="13"/>
      <c r="BH22" s="12"/>
      <c r="BI22" s="13"/>
      <c r="BJ22" s="13"/>
      <c r="BK22" s="13"/>
      <c r="BL22" s="14"/>
      <c r="BM22" s="11" t="s">
        <v>5</v>
      </c>
      <c r="BN22" s="9" t="s">
        <v>5</v>
      </c>
      <c r="BO22" s="9" t="s">
        <v>5</v>
      </c>
      <c r="BP22" s="9" t="s">
        <v>5</v>
      </c>
      <c r="BQ22" s="10" t="s">
        <v>5</v>
      </c>
      <c r="BR22" s="11" t="s">
        <v>5</v>
      </c>
      <c r="BS22" s="9" t="s">
        <v>5</v>
      </c>
      <c r="BT22" s="9" t="s">
        <v>5</v>
      </c>
      <c r="BU22" s="9" t="s">
        <v>5</v>
      </c>
      <c r="BV22" s="10" t="s">
        <v>5</v>
      </c>
      <c r="BW22" s="9" t="s">
        <v>5</v>
      </c>
      <c r="BX22" s="9" t="s">
        <v>5</v>
      </c>
      <c r="BY22" s="9" t="s">
        <v>5</v>
      </c>
      <c r="BZ22" s="9" t="s">
        <v>5</v>
      </c>
      <c r="CA22" s="9" t="s">
        <v>5</v>
      </c>
      <c r="CB22" s="11" t="s">
        <v>5</v>
      </c>
      <c r="CC22" s="9" t="s">
        <v>5</v>
      </c>
      <c r="CD22" s="9" t="s">
        <v>5</v>
      </c>
      <c r="CE22" s="9" t="s">
        <v>5</v>
      </c>
      <c r="CF22" s="10" t="s">
        <v>5</v>
      </c>
      <c r="CG22" s="9" t="s">
        <v>5</v>
      </c>
      <c r="CH22" s="9" t="s">
        <v>5</v>
      </c>
      <c r="CI22" s="10" t="s">
        <v>6</v>
      </c>
      <c r="CJ22" s="13"/>
      <c r="CK22" s="13"/>
    </row>
    <row r="23">
      <c r="A23" s="38"/>
      <c r="C23" s="2"/>
      <c r="D23" s="2"/>
      <c r="E23" s="13"/>
      <c r="F23" s="13"/>
      <c r="G23" s="13"/>
      <c r="H23" s="13"/>
      <c r="I23" s="14"/>
      <c r="J23" s="12"/>
      <c r="K23" s="13"/>
      <c r="L23" s="13"/>
      <c r="M23" s="13"/>
      <c r="N23" s="14"/>
      <c r="O23" s="12"/>
      <c r="P23" s="13"/>
      <c r="Q23" s="13"/>
      <c r="R23" s="13"/>
      <c r="S23" s="13"/>
      <c r="T23" s="12"/>
      <c r="U23" s="13"/>
      <c r="V23" s="13"/>
      <c r="W23" s="13"/>
      <c r="X23" s="14"/>
      <c r="Y23" s="13"/>
      <c r="Z23" s="13"/>
      <c r="AA23" s="13"/>
      <c r="AB23" s="13"/>
      <c r="AC23" s="14"/>
      <c r="AD23" s="13"/>
      <c r="AE23" s="13"/>
      <c r="AF23" s="13"/>
      <c r="AG23" s="13"/>
      <c r="AH23" s="13"/>
      <c r="AI23" s="12"/>
      <c r="AJ23" s="13"/>
      <c r="AK23" s="13"/>
      <c r="AL23" s="13"/>
      <c r="AM23" s="14"/>
      <c r="AN23" s="13"/>
      <c r="AO23" s="13"/>
      <c r="AP23" s="13"/>
      <c r="AQ23" s="13"/>
      <c r="AR23" s="13"/>
      <c r="AS23" s="12"/>
      <c r="AT23" s="13"/>
      <c r="AU23" s="13"/>
      <c r="AV23" s="13"/>
      <c r="AW23" s="14"/>
      <c r="AX23" s="13"/>
      <c r="AY23" s="13"/>
      <c r="AZ23" s="13"/>
      <c r="BA23" s="13"/>
      <c r="BB23" s="13"/>
      <c r="BC23" s="12"/>
      <c r="BD23" s="13"/>
      <c r="BE23" s="13"/>
      <c r="BF23" s="13"/>
      <c r="BG23" s="14"/>
      <c r="BH23" s="12"/>
      <c r="BI23" s="13"/>
      <c r="BJ23" s="13"/>
      <c r="BK23" s="13"/>
      <c r="BL23" s="14"/>
      <c r="BM23" s="12"/>
      <c r="BN23" s="13"/>
      <c r="BO23" s="13"/>
      <c r="BP23" s="13"/>
      <c r="BQ23" s="14"/>
      <c r="BR23" s="13"/>
      <c r="BS23" s="13"/>
      <c r="BT23" s="13"/>
      <c r="BU23" s="13"/>
      <c r="BV23" s="13"/>
      <c r="BW23" s="12"/>
      <c r="BX23" s="13"/>
      <c r="BY23" s="13"/>
      <c r="BZ23" s="13"/>
      <c r="CA23" s="14"/>
      <c r="CB23" s="13"/>
      <c r="CC23" s="13"/>
      <c r="CD23" s="13"/>
      <c r="CE23" s="13"/>
      <c r="CF23" s="14"/>
      <c r="CG23" s="13"/>
      <c r="CH23" s="13"/>
      <c r="CI23" s="14"/>
      <c r="CJ23" s="13"/>
      <c r="CK23" s="13"/>
    </row>
    <row r="24">
      <c r="A24" s="38"/>
      <c r="C24" s="2"/>
      <c r="D24" s="2"/>
      <c r="E24" s="22"/>
      <c r="F24" s="22"/>
      <c r="G24" s="22"/>
      <c r="H24" s="22"/>
      <c r="I24" s="23"/>
      <c r="J24" s="24"/>
      <c r="K24" s="22"/>
      <c r="L24" s="22"/>
      <c r="M24" s="22"/>
      <c r="N24" s="23"/>
      <c r="O24" s="24"/>
      <c r="P24" s="22"/>
      <c r="Q24" s="22"/>
      <c r="R24" s="22"/>
      <c r="S24" s="22"/>
      <c r="T24" s="24"/>
      <c r="U24" s="22"/>
      <c r="V24" s="22"/>
      <c r="W24" s="22"/>
      <c r="X24" s="23"/>
      <c r="Y24" s="22"/>
      <c r="Z24" s="22"/>
      <c r="AA24" s="22"/>
      <c r="AB24" s="22"/>
      <c r="AC24" s="23"/>
      <c r="AD24" s="22"/>
      <c r="AE24" s="22"/>
      <c r="AF24" s="22"/>
      <c r="AG24" s="22"/>
      <c r="AH24" s="22"/>
      <c r="AI24" s="24"/>
      <c r="AJ24" s="22"/>
      <c r="AK24" s="22"/>
      <c r="AL24" s="22"/>
      <c r="AM24" s="23"/>
      <c r="AN24" s="22"/>
      <c r="AO24" s="22"/>
      <c r="AP24" s="22"/>
      <c r="AQ24" s="22"/>
      <c r="AR24" s="22"/>
      <c r="AS24" s="24"/>
      <c r="AT24" s="22"/>
      <c r="AU24" s="22"/>
      <c r="AV24" s="22"/>
      <c r="AW24" s="23"/>
      <c r="AX24" s="22"/>
      <c r="AY24" s="22"/>
      <c r="AZ24" s="22"/>
      <c r="BA24" s="22"/>
      <c r="BB24" s="22"/>
      <c r="BC24" s="24"/>
      <c r="BD24" s="22"/>
      <c r="BE24" s="22"/>
      <c r="BF24" s="22"/>
      <c r="BG24" s="23"/>
      <c r="BH24" s="24"/>
      <c r="BI24" s="22"/>
      <c r="BJ24" s="22"/>
      <c r="BK24" s="22"/>
      <c r="BL24" s="23"/>
      <c r="BM24" s="24"/>
      <c r="BN24" s="22"/>
      <c r="BO24" s="22"/>
      <c r="BP24" s="22"/>
      <c r="BQ24" s="23"/>
      <c r="BR24" s="22"/>
      <c r="BS24" s="22"/>
      <c r="BT24" s="22"/>
      <c r="BU24" s="22"/>
      <c r="BV24" s="22"/>
      <c r="BW24" s="24"/>
      <c r="BX24" s="22"/>
      <c r="BY24" s="22"/>
      <c r="BZ24" s="22"/>
      <c r="CA24" s="23"/>
      <c r="CB24" s="22"/>
      <c r="CC24" s="22"/>
      <c r="CD24" s="22"/>
      <c r="CE24" s="22"/>
      <c r="CF24" s="23"/>
      <c r="CG24" s="22"/>
      <c r="CH24" s="22"/>
      <c r="CI24" s="23"/>
      <c r="CJ24" s="13"/>
      <c r="CK24" s="13"/>
    </row>
    <row r="25" hidden="1">
      <c r="A25" s="39"/>
      <c r="B25" s="39"/>
      <c r="C25" s="39"/>
      <c r="D25" s="39"/>
      <c r="E25" s="40">
        <v>44963.0</v>
      </c>
      <c r="F25" s="40">
        <f t="shared" ref="F25:I25" si="36">E25+1</f>
        <v>44964</v>
      </c>
      <c r="G25" s="40">
        <f t="shared" si="36"/>
        <v>44965</v>
      </c>
      <c r="H25" s="40">
        <f t="shared" si="36"/>
        <v>44966</v>
      </c>
      <c r="I25" s="41">
        <f t="shared" si="36"/>
        <v>44967</v>
      </c>
      <c r="J25" s="42">
        <f>I25+3</f>
        <v>44970</v>
      </c>
      <c r="K25" s="40">
        <f t="shared" ref="K25:N25" si="37">J25+1</f>
        <v>44971</v>
      </c>
      <c r="L25" s="40">
        <f t="shared" si="37"/>
        <v>44972</v>
      </c>
      <c r="M25" s="40">
        <f t="shared" si="37"/>
        <v>44973</v>
      </c>
      <c r="N25" s="41">
        <f t="shared" si="37"/>
        <v>44974</v>
      </c>
      <c r="O25" s="42">
        <f>N25+3</f>
        <v>44977</v>
      </c>
      <c r="P25" s="40">
        <f t="shared" ref="P25:S25" si="38">O25+1</f>
        <v>44978</v>
      </c>
      <c r="Q25" s="40">
        <f t="shared" si="38"/>
        <v>44979</v>
      </c>
      <c r="R25" s="40">
        <f t="shared" si="38"/>
        <v>44980</v>
      </c>
      <c r="S25" s="40">
        <f t="shared" si="38"/>
        <v>44981</v>
      </c>
      <c r="T25" s="42">
        <f>S25+3</f>
        <v>44984</v>
      </c>
      <c r="U25" s="42">
        <f t="shared" ref="U25:X25" si="39">T25+1</f>
        <v>44985</v>
      </c>
      <c r="V25" s="42">
        <f t="shared" si="39"/>
        <v>44986</v>
      </c>
      <c r="W25" s="42">
        <f t="shared" si="39"/>
        <v>44987</v>
      </c>
      <c r="X25" s="42">
        <f t="shared" si="39"/>
        <v>44988</v>
      </c>
      <c r="Y25" s="42">
        <f>X25+3</f>
        <v>44991</v>
      </c>
      <c r="Z25" s="42">
        <f t="shared" ref="Z25:AC25" si="40">Y25+1</f>
        <v>44992</v>
      </c>
      <c r="AA25" s="42">
        <f t="shared" si="40"/>
        <v>44993</v>
      </c>
      <c r="AB25" s="42">
        <f t="shared" si="40"/>
        <v>44994</v>
      </c>
      <c r="AC25" s="42">
        <f t="shared" si="40"/>
        <v>44995</v>
      </c>
      <c r="AD25" s="42">
        <f>AC25+3</f>
        <v>44998</v>
      </c>
      <c r="AE25" s="42">
        <f t="shared" ref="AE25:AH25" si="41">AD25+1</f>
        <v>44999</v>
      </c>
      <c r="AF25" s="42">
        <f t="shared" si="41"/>
        <v>45000</v>
      </c>
      <c r="AG25" s="42">
        <f t="shared" si="41"/>
        <v>45001</v>
      </c>
      <c r="AH25" s="42">
        <f t="shared" si="41"/>
        <v>45002</v>
      </c>
      <c r="AI25" s="42">
        <f>AH25+3</f>
        <v>45005</v>
      </c>
      <c r="AJ25" s="42">
        <f t="shared" ref="AJ25:AM25" si="42">AI25+1</f>
        <v>45006</v>
      </c>
      <c r="AK25" s="42">
        <f t="shared" si="42"/>
        <v>45007</v>
      </c>
      <c r="AL25" s="42">
        <f t="shared" si="42"/>
        <v>45008</v>
      </c>
      <c r="AM25" s="42">
        <f t="shared" si="42"/>
        <v>45009</v>
      </c>
      <c r="AN25" s="42">
        <f>AM25+3</f>
        <v>45012</v>
      </c>
      <c r="AO25" s="42">
        <f t="shared" ref="AO25:AR25" si="43">AN25+1</f>
        <v>45013</v>
      </c>
      <c r="AP25" s="42">
        <f t="shared" si="43"/>
        <v>45014</v>
      </c>
      <c r="AQ25" s="42">
        <f t="shared" si="43"/>
        <v>45015</v>
      </c>
      <c r="AR25" s="42">
        <f t="shared" si="43"/>
        <v>45016</v>
      </c>
      <c r="AS25" s="42">
        <f>AR25+3</f>
        <v>45019</v>
      </c>
      <c r="AT25" s="42">
        <f t="shared" ref="AT25:AW25" si="44">AS25+1</f>
        <v>45020</v>
      </c>
      <c r="AU25" s="42">
        <f t="shared" si="44"/>
        <v>45021</v>
      </c>
      <c r="AV25" s="42">
        <f t="shared" si="44"/>
        <v>45022</v>
      </c>
      <c r="AW25" s="42">
        <f t="shared" si="44"/>
        <v>45023</v>
      </c>
      <c r="AX25" s="42">
        <f>AW25+3</f>
        <v>45026</v>
      </c>
      <c r="AY25" s="42">
        <f t="shared" ref="AY25:BB25" si="45">AX25+1</f>
        <v>45027</v>
      </c>
      <c r="AZ25" s="42">
        <f t="shared" si="45"/>
        <v>45028</v>
      </c>
      <c r="BA25" s="42">
        <f t="shared" si="45"/>
        <v>45029</v>
      </c>
      <c r="BB25" s="42">
        <f t="shared" si="45"/>
        <v>45030</v>
      </c>
      <c r="BC25" s="42">
        <f>BB25+3</f>
        <v>45033</v>
      </c>
      <c r="BD25" s="42">
        <f t="shared" ref="BD25:BG25" si="46">BC25+1</f>
        <v>45034</v>
      </c>
      <c r="BE25" s="42">
        <f t="shared" si="46"/>
        <v>45035</v>
      </c>
      <c r="BF25" s="42">
        <f t="shared" si="46"/>
        <v>45036</v>
      </c>
      <c r="BG25" s="42">
        <f t="shared" si="46"/>
        <v>45037</v>
      </c>
      <c r="BH25" s="42">
        <f>BG25+3</f>
        <v>45040</v>
      </c>
      <c r="BI25" s="42">
        <f t="shared" ref="BI25:BL25" si="47">BH25+1</f>
        <v>45041</v>
      </c>
      <c r="BJ25" s="42">
        <f t="shared" si="47"/>
        <v>45042</v>
      </c>
      <c r="BK25" s="42">
        <f t="shared" si="47"/>
        <v>45043</v>
      </c>
      <c r="BL25" s="42">
        <f t="shared" si="47"/>
        <v>45044</v>
      </c>
      <c r="BM25" s="42">
        <f>BL25+3</f>
        <v>45047</v>
      </c>
      <c r="BN25" s="42">
        <f t="shared" ref="BN25:BQ25" si="48">BM25+1</f>
        <v>45048</v>
      </c>
      <c r="BO25" s="42">
        <f t="shared" si="48"/>
        <v>45049</v>
      </c>
      <c r="BP25" s="42">
        <f t="shared" si="48"/>
        <v>45050</v>
      </c>
      <c r="BQ25" s="42">
        <f t="shared" si="48"/>
        <v>45051</v>
      </c>
      <c r="BR25" s="42">
        <f>BQ25+3</f>
        <v>45054</v>
      </c>
      <c r="BS25" s="42">
        <f t="shared" ref="BS25:BV25" si="49">BR25+1</f>
        <v>45055</v>
      </c>
      <c r="BT25" s="42">
        <f t="shared" si="49"/>
        <v>45056</v>
      </c>
      <c r="BU25" s="42">
        <f t="shared" si="49"/>
        <v>45057</v>
      </c>
      <c r="BV25" s="42">
        <f t="shared" si="49"/>
        <v>45058</v>
      </c>
      <c r="BW25" s="42">
        <f>BV25+3</f>
        <v>45061</v>
      </c>
      <c r="BX25" s="42">
        <f t="shared" ref="BX25:CA25" si="50">BW25+1</f>
        <v>45062</v>
      </c>
      <c r="BY25" s="42">
        <f t="shared" si="50"/>
        <v>45063</v>
      </c>
      <c r="BZ25" s="42">
        <f t="shared" si="50"/>
        <v>45064</v>
      </c>
      <c r="CA25" s="42">
        <f t="shared" si="50"/>
        <v>45065</v>
      </c>
      <c r="CB25" s="42">
        <f>CA25+3</f>
        <v>45068</v>
      </c>
      <c r="CC25" s="42">
        <f t="shared" ref="CC25:CF25" si="51">CB25+1</f>
        <v>45069</v>
      </c>
      <c r="CD25" s="42">
        <f t="shared" si="51"/>
        <v>45070</v>
      </c>
      <c r="CE25" s="42">
        <f t="shared" si="51"/>
        <v>45071</v>
      </c>
      <c r="CF25" s="42">
        <f t="shared" si="51"/>
        <v>45072</v>
      </c>
      <c r="CG25" s="42">
        <f>CF25+3</f>
        <v>45075</v>
      </c>
      <c r="CH25" s="42">
        <f t="shared" ref="CH25:CI25" si="52">CG25+1</f>
        <v>45076</v>
      </c>
      <c r="CI25" s="42">
        <f t="shared" si="52"/>
        <v>45077</v>
      </c>
      <c r="CJ25" s="43"/>
      <c r="CK25" s="43"/>
    </row>
    <row r="26">
      <c r="A26" s="44"/>
      <c r="B26" s="44"/>
      <c r="C26" s="44"/>
      <c r="D26" s="44"/>
      <c r="E26" s="45">
        <v>1.0</v>
      </c>
      <c r="J26" s="45">
        <f>E26+1</f>
        <v>2</v>
      </c>
      <c r="O26" s="45">
        <f>J26+1</f>
        <v>3</v>
      </c>
      <c r="T26" s="45">
        <f>O26+1</f>
        <v>4</v>
      </c>
      <c r="Y26" s="45">
        <f>T26+1</f>
        <v>5</v>
      </c>
      <c r="AD26" s="45">
        <f>Y26+1</f>
        <v>6</v>
      </c>
      <c r="AI26" s="45">
        <f>AD26+1</f>
        <v>7</v>
      </c>
      <c r="AN26" s="45">
        <f>AI26+1</f>
        <v>8</v>
      </c>
      <c r="AS26" s="45">
        <f>AN26+1</f>
        <v>9</v>
      </c>
      <c r="AX26" s="45">
        <f>AS26+1</f>
        <v>10</v>
      </c>
      <c r="BC26" s="45">
        <f>AX26+1</f>
        <v>11</v>
      </c>
      <c r="BH26" s="45">
        <f>BC26+1</f>
        <v>12</v>
      </c>
      <c r="BM26" s="45">
        <f>BH26+1</f>
        <v>13</v>
      </c>
      <c r="BR26" s="45">
        <f>BM26+1</f>
        <v>14</v>
      </c>
      <c r="BW26" s="45">
        <f>BR26+1</f>
        <v>15</v>
      </c>
      <c r="CB26" s="45">
        <f>BW26+1</f>
        <v>16</v>
      </c>
      <c r="CG26" s="27">
        <f>CB26+1</f>
        <v>17</v>
      </c>
      <c r="CJ26" s="27"/>
      <c r="CK26" s="27"/>
    </row>
    <row r="27">
      <c r="A27" s="44"/>
      <c r="B27" s="44"/>
      <c r="C27" s="44"/>
      <c r="D27" s="44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</row>
    <row r="28"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</row>
  </sheetData>
  <mergeCells count="27">
    <mergeCell ref="AN14:BL14"/>
    <mergeCell ref="BM14:CI14"/>
    <mergeCell ref="E2:Z2"/>
    <mergeCell ref="AA2:AV2"/>
    <mergeCell ref="AW2:BQ2"/>
    <mergeCell ref="BR2:CI2"/>
    <mergeCell ref="B10:B12"/>
    <mergeCell ref="E14:T14"/>
    <mergeCell ref="U14:AM14"/>
    <mergeCell ref="B22:B24"/>
    <mergeCell ref="E26:I26"/>
    <mergeCell ref="J26:N26"/>
    <mergeCell ref="O26:S26"/>
    <mergeCell ref="T26:X26"/>
    <mergeCell ref="Y26:AC26"/>
    <mergeCell ref="AD26:AH26"/>
    <mergeCell ref="BR26:BV26"/>
    <mergeCell ref="BW26:CA26"/>
    <mergeCell ref="CB26:CF26"/>
    <mergeCell ref="CG26:CI26"/>
    <mergeCell ref="AI26:AM26"/>
    <mergeCell ref="AN26:AR26"/>
    <mergeCell ref="AS26:AW26"/>
    <mergeCell ref="AX26:BB26"/>
    <mergeCell ref="BC26:BG26"/>
    <mergeCell ref="BH26:BL26"/>
    <mergeCell ref="BM26:BQ26"/>
  </mergeCells>
  <conditionalFormatting sqref="E4:CI12 E16:CI24">
    <cfRule type="cellIs" dxfId="0" priority="1" operator="equal">
      <formula>"T"</formula>
    </cfRule>
  </conditionalFormatting>
  <conditionalFormatting sqref="E4:CI12 E16:CI24">
    <cfRule type="cellIs" dxfId="1" priority="2" operator="equal">
      <formula>"E"</formula>
    </cfRule>
  </conditionalFormatting>
  <conditionalFormatting sqref="E4:CI12 E16:CI24">
    <cfRule type="cellIs" dxfId="0" priority="3" operator="equal">
      <formula>"C"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63"/>
    <col customWidth="1" min="2" max="2" width="24.0"/>
    <col customWidth="1" min="3" max="85" width="2.25"/>
    <col customWidth="1" min="86" max="86" width="4.25"/>
  </cols>
  <sheetData>
    <row r="1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>
      <c r="A2" s="46"/>
      <c r="B2" s="33"/>
      <c r="C2" s="34" t="s">
        <v>12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4" t="s">
        <v>13</v>
      </c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34" t="s">
        <v>14</v>
      </c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30"/>
      <c r="BK2" s="34" t="s">
        <v>17</v>
      </c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30"/>
      <c r="CH2" s="1"/>
    </row>
    <row r="3">
      <c r="A3" s="47"/>
      <c r="B3" s="48"/>
      <c r="C3" s="37">
        <v>6.0</v>
      </c>
      <c r="D3" s="35">
        <f t="shared" ref="D3:G3" si="1">C3+1</f>
        <v>7</v>
      </c>
      <c r="E3" s="35">
        <f t="shared" si="1"/>
        <v>8</v>
      </c>
      <c r="F3" s="35">
        <f t="shared" si="1"/>
        <v>9</v>
      </c>
      <c r="G3" s="36">
        <f t="shared" si="1"/>
        <v>10</v>
      </c>
      <c r="H3" s="37">
        <f>G3+3</f>
        <v>13</v>
      </c>
      <c r="I3" s="35">
        <f t="shared" ref="I3:L3" si="2">H3+1</f>
        <v>14</v>
      </c>
      <c r="J3" s="35">
        <f t="shared" si="2"/>
        <v>15</v>
      </c>
      <c r="K3" s="35">
        <f t="shared" si="2"/>
        <v>16</v>
      </c>
      <c r="L3" s="36">
        <f t="shared" si="2"/>
        <v>17</v>
      </c>
      <c r="M3" s="37">
        <f>L3+3</f>
        <v>20</v>
      </c>
      <c r="N3" s="35">
        <f t="shared" ref="N3:Q3" si="3">M3+1</f>
        <v>21</v>
      </c>
      <c r="O3" s="35">
        <f t="shared" si="3"/>
        <v>22</v>
      </c>
      <c r="P3" s="35">
        <f t="shared" si="3"/>
        <v>23</v>
      </c>
      <c r="Q3" s="35">
        <f t="shared" si="3"/>
        <v>24</v>
      </c>
      <c r="R3" s="37">
        <f>Q3+3</f>
        <v>27</v>
      </c>
      <c r="S3" s="35">
        <v>28.0</v>
      </c>
      <c r="T3" s="35">
        <v>1.0</v>
      </c>
      <c r="U3" s="35">
        <f t="shared" ref="U3:V3" si="4">T3+1</f>
        <v>2</v>
      </c>
      <c r="V3" s="36">
        <f t="shared" si="4"/>
        <v>3</v>
      </c>
      <c r="W3" s="35">
        <f>V3+3</f>
        <v>6</v>
      </c>
      <c r="X3" s="35">
        <f t="shared" ref="X3:AA3" si="5">W3+1</f>
        <v>7</v>
      </c>
      <c r="Y3" s="35">
        <f t="shared" si="5"/>
        <v>8</v>
      </c>
      <c r="Z3" s="35">
        <f t="shared" si="5"/>
        <v>9</v>
      </c>
      <c r="AA3" s="36">
        <f t="shared" si="5"/>
        <v>10</v>
      </c>
      <c r="AB3" s="37">
        <f>AA3+3</f>
        <v>13</v>
      </c>
      <c r="AC3" s="35">
        <f t="shared" ref="AC3:AF3" si="6">AB3+1</f>
        <v>14</v>
      </c>
      <c r="AD3" s="35">
        <f t="shared" si="6"/>
        <v>15</v>
      </c>
      <c r="AE3" s="35">
        <f t="shared" si="6"/>
        <v>16</v>
      </c>
      <c r="AF3" s="36">
        <f t="shared" si="6"/>
        <v>17</v>
      </c>
      <c r="AG3" s="37">
        <f>AF3+3</f>
        <v>20</v>
      </c>
      <c r="AH3" s="35">
        <f t="shared" ref="AH3:AK3" si="7">AG3+1</f>
        <v>21</v>
      </c>
      <c r="AI3" s="35">
        <f t="shared" si="7"/>
        <v>22</v>
      </c>
      <c r="AJ3" s="35">
        <f t="shared" si="7"/>
        <v>23</v>
      </c>
      <c r="AK3" s="36">
        <f t="shared" si="7"/>
        <v>24</v>
      </c>
      <c r="AL3" s="37">
        <f>AK3+3</f>
        <v>27</v>
      </c>
      <c r="AM3" s="35">
        <f t="shared" ref="AM3:AP3" si="8">AL3+1</f>
        <v>28</v>
      </c>
      <c r="AN3" s="35">
        <f t="shared" si="8"/>
        <v>29</v>
      </c>
      <c r="AO3" s="35">
        <f t="shared" si="8"/>
        <v>30</v>
      </c>
      <c r="AP3" s="36">
        <f t="shared" si="8"/>
        <v>31</v>
      </c>
      <c r="AQ3" s="37">
        <v>3.0</v>
      </c>
      <c r="AR3" s="35">
        <f t="shared" ref="AR3:AU3" si="9">AQ3+1</f>
        <v>4</v>
      </c>
      <c r="AS3" s="35">
        <f t="shared" si="9"/>
        <v>5</v>
      </c>
      <c r="AT3" s="35">
        <f t="shared" si="9"/>
        <v>6</v>
      </c>
      <c r="AU3" s="36">
        <f t="shared" si="9"/>
        <v>7</v>
      </c>
      <c r="AV3" s="37">
        <f>AU3+3</f>
        <v>10</v>
      </c>
      <c r="AW3" s="35">
        <f t="shared" ref="AW3:AZ3" si="10">AV3+1</f>
        <v>11</v>
      </c>
      <c r="AX3" s="35">
        <f t="shared" si="10"/>
        <v>12</v>
      </c>
      <c r="AY3" s="35">
        <f t="shared" si="10"/>
        <v>13</v>
      </c>
      <c r="AZ3" s="36">
        <f t="shared" si="10"/>
        <v>14</v>
      </c>
      <c r="BA3" s="37">
        <f>AZ3+3</f>
        <v>17</v>
      </c>
      <c r="BB3" s="35">
        <f t="shared" ref="BB3:BE3" si="11">BA3+1</f>
        <v>18</v>
      </c>
      <c r="BC3" s="35">
        <f t="shared" si="11"/>
        <v>19</v>
      </c>
      <c r="BD3" s="35">
        <f t="shared" si="11"/>
        <v>20</v>
      </c>
      <c r="BE3" s="36">
        <f t="shared" si="11"/>
        <v>21</v>
      </c>
      <c r="BF3" s="37">
        <f>BE3+3</f>
        <v>24</v>
      </c>
      <c r="BG3" s="35">
        <f t="shared" ref="BG3:BJ3" si="12">BF3+1</f>
        <v>25</v>
      </c>
      <c r="BH3" s="35">
        <f t="shared" si="12"/>
        <v>26</v>
      </c>
      <c r="BI3" s="35">
        <f t="shared" si="12"/>
        <v>27</v>
      </c>
      <c r="BJ3" s="36">
        <f t="shared" si="12"/>
        <v>28</v>
      </c>
      <c r="BK3" s="37">
        <v>1.0</v>
      </c>
      <c r="BL3" s="35">
        <f t="shared" ref="BL3:BO3" si="13">BK3+1</f>
        <v>2</v>
      </c>
      <c r="BM3" s="35">
        <f t="shared" si="13"/>
        <v>3</v>
      </c>
      <c r="BN3" s="35">
        <f t="shared" si="13"/>
        <v>4</v>
      </c>
      <c r="BO3" s="36">
        <f t="shared" si="13"/>
        <v>5</v>
      </c>
      <c r="BP3" s="37">
        <f>BO3+3</f>
        <v>8</v>
      </c>
      <c r="BQ3" s="35">
        <f t="shared" ref="BQ3:BT3" si="14">BP3+1</f>
        <v>9</v>
      </c>
      <c r="BR3" s="35">
        <f t="shared" si="14"/>
        <v>10</v>
      </c>
      <c r="BS3" s="35">
        <f t="shared" si="14"/>
        <v>11</v>
      </c>
      <c r="BT3" s="36">
        <f t="shared" si="14"/>
        <v>12</v>
      </c>
      <c r="BU3" s="37">
        <f>BT3+3</f>
        <v>15</v>
      </c>
      <c r="BV3" s="35">
        <f t="shared" ref="BV3:BY3" si="15">BU3+1</f>
        <v>16</v>
      </c>
      <c r="BW3" s="35">
        <f t="shared" si="15"/>
        <v>17</v>
      </c>
      <c r="BX3" s="35">
        <f t="shared" si="15"/>
        <v>18</v>
      </c>
      <c r="BY3" s="36">
        <f t="shared" si="15"/>
        <v>19</v>
      </c>
      <c r="BZ3" s="37">
        <f>BY3+3</f>
        <v>22</v>
      </c>
      <c r="CA3" s="35">
        <f t="shared" ref="CA3:CD3" si="16">BZ3+1</f>
        <v>23</v>
      </c>
      <c r="CB3" s="35">
        <f t="shared" si="16"/>
        <v>24</v>
      </c>
      <c r="CC3" s="35">
        <f t="shared" si="16"/>
        <v>25</v>
      </c>
      <c r="CD3" s="36">
        <f t="shared" si="16"/>
        <v>26</v>
      </c>
      <c r="CE3" s="35">
        <f>CD3+3</f>
        <v>29</v>
      </c>
      <c r="CF3" s="35">
        <f t="shared" ref="CF3:CG3" si="17">CE3+1</f>
        <v>30</v>
      </c>
      <c r="CG3" s="36">
        <f t="shared" si="17"/>
        <v>31</v>
      </c>
      <c r="CH3" s="45"/>
    </row>
    <row r="4" hidden="1">
      <c r="A4" s="8"/>
      <c r="B4" s="8" t="s">
        <v>0</v>
      </c>
      <c r="C4" s="11"/>
      <c r="D4" s="9"/>
      <c r="E4" s="9"/>
      <c r="F4" s="9"/>
      <c r="G4" s="10"/>
      <c r="H4" s="11"/>
      <c r="I4" s="9"/>
      <c r="J4" s="9"/>
      <c r="K4" s="9"/>
      <c r="L4" s="10"/>
      <c r="M4" s="12"/>
      <c r="N4" s="13"/>
      <c r="O4" s="13"/>
      <c r="P4" s="13"/>
      <c r="Q4" s="13"/>
      <c r="R4" s="12"/>
      <c r="S4" s="13"/>
      <c r="T4" s="13"/>
      <c r="U4" s="13"/>
      <c r="V4" s="14"/>
      <c r="W4" s="13"/>
      <c r="X4" s="13"/>
      <c r="Y4" s="13"/>
      <c r="Z4" s="13"/>
      <c r="AA4" s="14"/>
      <c r="AB4" s="13"/>
      <c r="AC4" s="13"/>
      <c r="AD4" s="13"/>
      <c r="AE4" s="13"/>
      <c r="AF4" s="13"/>
      <c r="AG4" s="12"/>
      <c r="AH4" s="13"/>
      <c r="AI4" s="13"/>
      <c r="AJ4" s="13"/>
      <c r="AK4" s="14"/>
      <c r="AL4" s="13"/>
      <c r="AM4" s="13"/>
      <c r="AN4" s="13"/>
      <c r="AO4" s="13"/>
      <c r="AP4" s="13"/>
      <c r="AQ4" s="12"/>
      <c r="AR4" s="13"/>
      <c r="AS4" s="13"/>
      <c r="AT4" s="13"/>
      <c r="AU4" s="14"/>
      <c r="AV4" s="13"/>
      <c r="AW4" s="13"/>
      <c r="AX4" s="13"/>
      <c r="AY4" s="13"/>
      <c r="AZ4" s="13"/>
      <c r="BA4" s="12"/>
      <c r="BB4" s="13"/>
      <c r="BC4" s="13"/>
      <c r="BD4" s="13"/>
      <c r="BE4" s="14"/>
      <c r="BF4" s="12"/>
      <c r="BG4" s="13"/>
      <c r="BH4" s="13"/>
      <c r="BI4" s="13"/>
      <c r="BJ4" s="14"/>
      <c r="BK4" s="12"/>
      <c r="BL4" s="13"/>
      <c r="BM4" s="13"/>
      <c r="BN4" s="13"/>
      <c r="BO4" s="14"/>
      <c r="BP4" s="13"/>
      <c r="BQ4" s="13"/>
      <c r="BR4" s="13"/>
      <c r="BS4" s="13"/>
      <c r="BT4" s="13"/>
      <c r="BU4" s="12"/>
      <c r="BV4" s="13"/>
      <c r="BW4" s="13"/>
      <c r="BX4" s="13"/>
      <c r="BY4" s="14"/>
      <c r="BZ4" s="13"/>
      <c r="CA4" s="13"/>
      <c r="CB4" s="13"/>
      <c r="CC4" s="13"/>
      <c r="CD4" s="14"/>
      <c r="CE4" s="13"/>
      <c r="CF4" s="13"/>
      <c r="CG4" s="14"/>
      <c r="CH4" s="13"/>
    </row>
    <row r="5" hidden="1">
      <c r="A5" s="8"/>
      <c r="B5" s="8" t="s">
        <v>4</v>
      </c>
      <c r="C5" s="17" t="s">
        <v>5</v>
      </c>
      <c r="D5" s="15" t="s">
        <v>5</v>
      </c>
      <c r="E5" s="15" t="s">
        <v>5</v>
      </c>
      <c r="F5" s="15" t="s">
        <v>5</v>
      </c>
      <c r="G5" s="16" t="s">
        <v>5</v>
      </c>
      <c r="H5" s="17" t="s">
        <v>5</v>
      </c>
      <c r="I5" s="15" t="s">
        <v>5</v>
      </c>
      <c r="J5" s="15" t="s">
        <v>5</v>
      </c>
      <c r="K5" s="15" t="s">
        <v>5</v>
      </c>
      <c r="L5" s="10" t="s">
        <v>6</v>
      </c>
      <c r="M5" s="18"/>
      <c r="N5" s="19"/>
      <c r="O5" s="19"/>
      <c r="P5" s="19"/>
      <c r="Q5" s="19"/>
      <c r="R5" s="18"/>
      <c r="S5" s="19"/>
      <c r="T5" s="19"/>
      <c r="U5" s="19"/>
      <c r="V5" s="20"/>
      <c r="W5" s="13"/>
      <c r="X5" s="13"/>
      <c r="Y5" s="13"/>
      <c r="Z5" s="13"/>
      <c r="AA5" s="14"/>
      <c r="AB5" s="13"/>
      <c r="AC5" s="13"/>
      <c r="AD5" s="13"/>
      <c r="AE5" s="13"/>
      <c r="AF5" s="13"/>
      <c r="AG5" s="12"/>
      <c r="AH5" s="13"/>
      <c r="AI5" s="13"/>
      <c r="AJ5" s="13"/>
      <c r="AK5" s="14"/>
      <c r="AL5" s="13"/>
      <c r="AM5" s="13"/>
      <c r="AN5" s="13"/>
      <c r="AO5" s="13"/>
      <c r="AP5" s="13"/>
      <c r="AQ5" s="12"/>
      <c r="AR5" s="13"/>
      <c r="AS5" s="13"/>
      <c r="AT5" s="13"/>
      <c r="AU5" s="14"/>
      <c r="AV5" s="13"/>
      <c r="AW5" s="13"/>
      <c r="AX5" s="13"/>
      <c r="AY5" s="13"/>
      <c r="AZ5" s="13"/>
      <c r="BA5" s="12"/>
      <c r="BB5" s="13"/>
      <c r="BC5" s="13"/>
      <c r="BD5" s="13"/>
      <c r="BE5" s="14"/>
      <c r="BF5" s="12"/>
      <c r="BG5" s="13"/>
      <c r="BH5" s="13"/>
      <c r="BI5" s="13"/>
      <c r="BJ5" s="14"/>
      <c r="BK5" s="12"/>
      <c r="BL5" s="13"/>
      <c r="BM5" s="13"/>
      <c r="BN5" s="13"/>
      <c r="BO5" s="14"/>
      <c r="BP5" s="13"/>
      <c r="BQ5" s="13"/>
      <c r="BR5" s="13"/>
      <c r="BS5" s="13"/>
      <c r="BT5" s="13"/>
      <c r="BU5" s="12"/>
      <c r="BV5" s="13"/>
      <c r="BW5" s="13"/>
      <c r="BX5" s="13"/>
      <c r="BY5" s="14"/>
      <c r="BZ5" s="13"/>
      <c r="CA5" s="13"/>
      <c r="CB5" s="13"/>
      <c r="CC5" s="13"/>
      <c r="CD5" s="14"/>
      <c r="CE5" s="13"/>
      <c r="CF5" s="13"/>
      <c r="CG5" s="14"/>
      <c r="CH5" s="13"/>
    </row>
    <row r="6" hidden="1">
      <c r="A6" s="8"/>
      <c r="B6" s="8" t="s">
        <v>7</v>
      </c>
      <c r="C6" s="12"/>
      <c r="D6" s="13"/>
      <c r="E6" s="13"/>
      <c r="F6" s="13"/>
      <c r="G6" s="14"/>
      <c r="H6" s="12"/>
      <c r="I6" s="13"/>
      <c r="J6" s="13"/>
      <c r="K6" s="13"/>
      <c r="L6" s="16"/>
      <c r="M6" s="17" t="s">
        <v>5</v>
      </c>
      <c r="N6" s="15" t="s">
        <v>5</v>
      </c>
      <c r="O6" s="15" t="s">
        <v>5</v>
      </c>
      <c r="P6" s="15" t="s">
        <v>5</v>
      </c>
      <c r="Q6" s="15" t="s">
        <v>5</v>
      </c>
      <c r="R6" s="17" t="s">
        <v>5</v>
      </c>
      <c r="S6" s="15" t="s">
        <v>5</v>
      </c>
      <c r="T6" s="15" t="s">
        <v>5</v>
      </c>
      <c r="U6" s="15" t="s">
        <v>5</v>
      </c>
      <c r="V6" s="10" t="s">
        <v>6</v>
      </c>
      <c r="W6" s="19"/>
      <c r="X6" s="19"/>
      <c r="Y6" s="19"/>
      <c r="Z6" s="19"/>
      <c r="AA6" s="20"/>
      <c r="AB6" s="19"/>
      <c r="AC6" s="19"/>
      <c r="AD6" s="19"/>
      <c r="AE6" s="19"/>
      <c r="AF6" s="19"/>
      <c r="AG6" s="12"/>
      <c r="AH6" s="13"/>
      <c r="AI6" s="13"/>
      <c r="AJ6" s="13"/>
      <c r="AK6" s="14"/>
      <c r="AL6" s="13"/>
      <c r="AM6" s="13"/>
      <c r="AN6" s="13"/>
      <c r="AO6" s="13"/>
      <c r="AP6" s="13"/>
      <c r="AQ6" s="12"/>
      <c r="AR6" s="13"/>
      <c r="AS6" s="13"/>
      <c r="AT6" s="13"/>
      <c r="AU6" s="14"/>
      <c r="AV6" s="13"/>
      <c r="AW6" s="13"/>
      <c r="AX6" s="13"/>
      <c r="AY6" s="13"/>
      <c r="AZ6" s="13"/>
      <c r="BA6" s="12"/>
      <c r="BB6" s="13"/>
      <c r="BC6" s="13"/>
      <c r="BD6" s="13"/>
      <c r="BE6" s="14"/>
      <c r="BF6" s="12"/>
      <c r="BG6" s="13"/>
      <c r="BH6" s="13"/>
      <c r="BI6" s="13"/>
      <c r="BJ6" s="14"/>
      <c r="BK6" s="12"/>
      <c r="BL6" s="13"/>
      <c r="BM6" s="13"/>
      <c r="BN6" s="13"/>
      <c r="BO6" s="14"/>
      <c r="BP6" s="13"/>
      <c r="BQ6" s="13"/>
      <c r="BR6" s="13"/>
      <c r="BS6" s="13"/>
      <c r="BT6" s="13"/>
      <c r="BU6" s="12"/>
      <c r="BV6" s="13"/>
      <c r="BW6" s="13"/>
      <c r="BX6" s="13"/>
      <c r="BY6" s="14"/>
      <c r="BZ6" s="13"/>
      <c r="CA6" s="13"/>
      <c r="CB6" s="13"/>
      <c r="CC6" s="13"/>
      <c r="CD6" s="14"/>
      <c r="CE6" s="13"/>
      <c r="CF6" s="13"/>
      <c r="CG6" s="14"/>
      <c r="CH6" s="13"/>
    </row>
    <row r="7" hidden="1">
      <c r="A7" s="8"/>
      <c r="B7" s="8" t="s">
        <v>8</v>
      </c>
      <c r="C7" s="12"/>
      <c r="D7" s="13"/>
      <c r="E7" s="13"/>
      <c r="F7" s="13"/>
      <c r="G7" s="14"/>
      <c r="H7" s="12"/>
      <c r="I7" s="13"/>
      <c r="J7" s="13"/>
      <c r="K7" s="13"/>
      <c r="L7" s="14"/>
      <c r="M7" s="12"/>
      <c r="N7" s="13"/>
      <c r="O7" s="13"/>
      <c r="P7" s="13"/>
      <c r="Q7" s="13"/>
      <c r="R7" s="12"/>
      <c r="S7" s="13"/>
      <c r="T7" s="13"/>
      <c r="U7" s="13"/>
      <c r="V7" s="16"/>
      <c r="W7" s="15" t="s">
        <v>5</v>
      </c>
      <c r="X7" s="15" t="s">
        <v>5</v>
      </c>
      <c r="Y7" s="15" t="s">
        <v>5</v>
      </c>
      <c r="Z7" s="15" t="s">
        <v>5</v>
      </c>
      <c r="AA7" s="16" t="s">
        <v>5</v>
      </c>
      <c r="AB7" s="15" t="s">
        <v>5</v>
      </c>
      <c r="AC7" s="15" t="s">
        <v>5</v>
      </c>
      <c r="AD7" s="15" t="s">
        <v>5</v>
      </c>
      <c r="AE7" s="15" t="s">
        <v>5</v>
      </c>
      <c r="AF7" s="9" t="s">
        <v>6</v>
      </c>
      <c r="AG7" s="18"/>
      <c r="AH7" s="19"/>
      <c r="AI7" s="19"/>
      <c r="AJ7" s="19"/>
      <c r="AK7" s="20"/>
      <c r="AL7" s="19"/>
      <c r="AM7" s="19"/>
      <c r="AN7" s="19"/>
      <c r="AO7" s="19"/>
      <c r="AP7" s="19"/>
      <c r="AQ7" s="18"/>
      <c r="AR7" s="19"/>
      <c r="AS7" s="19"/>
      <c r="AT7" s="19"/>
      <c r="AU7" s="20"/>
      <c r="AV7" s="19"/>
      <c r="AW7" s="19"/>
      <c r="AX7" s="19"/>
      <c r="AY7" s="19"/>
      <c r="AZ7" s="19"/>
      <c r="BA7" s="12"/>
      <c r="BB7" s="13"/>
      <c r="BC7" s="13"/>
      <c r="BD7" s="13"/>
      <c r="BE7" s="14"/>
      <c r="BF7" s="12"/>
      <c r="BG7" s="13"/>
      <c r="BH7" s="13"/>
      <c r="BI7" s="13"/>
      <c r="BJ7" s="14"/>
      <c r="BK7" s="12"/>
      <c r="BL7" s="13"/>
      <c r="BM7" s="13"/>
      <c r="BN7" s="13"/>
      <c r="BO7" s="14"/>
      <c r="BP7" s="13"/>
      <c r="BQ7" s="13"/>
      <c r="BR7" s="13"/>
      <c r="BS7" s="13"/>
      <c r="BT7" s="13"/>
      <c r="BU7" s="12"/>
      <c r="BV7" s="13"/>
      <c r="BW7" s="13"/>
      <c r="BX7" s="13"/>
      <c r="BY7" s="14"/>
      <c r="BZ7" s="13"/>
      <c r="CA7" s="13"/>
      <c r="CB7" s="13"/>
      <c r="CC7" s="13"/>
      <c r="CD7" s="14"/>
      <c r="CE7" s="13"/>
      <c r="CF7" s="13"/>
      <c r="CG7" s="14"/>
      <c r="CH7" s="13"/>
    </row>
    <row r="8" hidden="1">
      <c r="A8" s="8"/>
      <c r="B8" s="8" t="s">
        <v>9</v>
      </c>
      <c r="C8" s="12"/>
      <c r="D8" s="13"/>
      <c r="E8" s="13"/>
      <c r="F8" s="13"/>
      <c r="G8" s="14"/>
      <c r="H8" s="12"/>
      <c r="I8" s="13"/>
      <c r="J8" s="13"/>
      <c r="K8" s="13"/>
      <c r="L8" s="14"/>
      <c r="M8" s="12"/>
      <c r="N8" s="13"/>
      <c r="O8" s="13"/>
      <c r="P8" s="13"/>
      <c r="Q8" s="13"/>
      <c r="R8" s="12"/>
      <c r="S8" s="13"/>
      <c r="T8" s="13"/>
      <c r="U8" s="13"/>
      <c r="V8" s="14"/>
      <c r="W8" s="13"/>
      <c r="X8" s="13"/>
      <c r="Y8" s="13"/>
      <c r="Z8" s="13"/>
      <c r="AA8" s="14"/>
      <c r="AB8" s="13"/>
      <c r="AC8" s="13"/>
      <c r="AD8" s="13"/>
      <c r="AE8" s="13"/>
      <c r="AF8" s="15"/>
      <c r="AG8" s="17" t="s">
        <v>5</v>
      </c>
      <c r="AH8" s="15" t="s">
        <v>5</v>
      </c>
      <c r="AI8" s="15" t="s">
        <v>5</v>
      </c>
      <c r="AJ8" s="15" t="s">
        <v>5</v>
      </c>
      <c r="AK8" s="16" t="s">
        <v>5</v>
      </c>
      <c r="AL8" s="15" t="s">
        <v>5</v>
      </c>
      <c r="AM8" s="15" t="s">
        <v>5</v>
      </c>
      <c r="AN8" s="15" t="s">
        <v>5</v>
      </c>
      <c r="AO8" s="15" t="s">
        <v>5</v>
      </c>
      <c r="AP8" s="15" t="s">
        <v>5</v>
      </c>
      <c r="AQ8" s="17" t="s">
        <v>5</v>
      </c>
      <c r="AR8" s="15" t="s">
        <v>5</v>
      </c>
      <c r="AS8" s="15" t="s">
        <v>5</v>
      </c>
      <c r="AT8" s="15" t="s">
        <v>5</v>
      </c>
      <c r="AU8" s="16" t="s">
        <v>5</v>
      </c>
      <c r="AV8" s="17" t="s">
        <v>5</v>
      </c>
      <c r="AW8" s="15" t="s">
        <v>5</v>
      </c>
      <c r="AX8" s="15" t="s">
        <v>5</v>
      </c>
      <c r="AY8" s="15" t="s">
        <v>5</v>
      </c>
      <c r="AZ8" s="9" t="s">
        <v>6</v>
      </c>
      <c r="BA8" s="18"/>
      <c r="BB8" s="19"/>
      <c r="BC8" s="19"/>
      <c r="BD8" s="19"/>
      <c r="BE8" s="20"/>
      <c r="BF8" s="18"/>
      <c r="BG8" s="19"/>
      <c r="BH8" s="19"/>
      <c r="BI8" s="19"/>
      <c r="BJ8" s="20"/>
      <c r="BK8" s="12"/>
      <c r="BL8" s="13"/>
      <c r="BM8" s="13"/>
      <c r="BN8" s="13"/>
      <c r="BO8" s="14"/>
      <c r="BP8" s="13"/>
      <c r="BQ8" s="13"/>
      <c r="BR8" s="13"/>
      <c r="BS8" s="13"/>
      <c r="BT8" s="13"/>
      <c r="BU8" s="12"/>
      <c r="BV8" s="13"/>
      <c r="BW8" s="13"/>
      <c r="BX8" s="13"/>
      <c r="BY8" s="14"/>
      <c r="BZ8" s="13"/>
      <c r="CA8" s="13"/>
      <c r="CB8" s="13"/>
      <c r="CC8" s="13"/>
      <c r="CD8" s="14"/>
      <c r="CE8" s="13"/>
      <c r="CF8" s="13"/>
      <c r="CG8" s="14"/>
      <c r="CH8" s="13"/>
    </row>
    <row r="9" hidden="1">
      <c r="A9" s="8"/>
      <c r="B9" s="8" t="s">
        <v>10</v>
      </c>
      <c r="C9" s="12"/>
      <c r="D9" s="13"/>
      <c r="E9" s="13"/>
      <c r="F9" s="13"/>
      <c r="G9" s="14"/>
      <c r="H9" s="12"/>
      <c r="I9" s="13"/>
      <c r="J9" s="13"/>
      <c r="K9" s="13"/>
      <c r="L9" s="14"/>
      <c r="M9" s="12"/>
      <c r="N9" s="13"/>
      <c r="O9" s="13"/>
      <c r="P9" s="13"/>
      <c r="Q9" s="13"/>
      <c r="R9" s="12"/>
      <c r="S9" s="13"/>
      <c r="T9" s="13"/>
      <c r="U9" s="13"/>
      <c r="V9" s="14"/>
      <c r="W9" s="13"/>
      <c r="X9" s="13"/>
      <c r="Y9" s="13"/>
      <c r="Z9" s="13"/>
      <c r="AA9" s="14"/>
      <c r="AB9" s="13"/>
      <c r="AC9" s="13"/>
      <c r="AD9" s="13"/>
      <c r="AE9" s="13"/>
      <c r="AF9" s="13"/>
      <c r="AG9" s="12"/>
      <c r="AH9" s="13"/>
      <c r="AI9" s="13"/>
      <c r="AJ9" s="13"/>
      <c r="AK9" s="14"/>
      <c r="AL9" s="13"/>
      <c r="AM9" s="13"/>
      <c r="AN9" s="13"/>
      <c r="AO9" s="13"/>
      <c r="AP9" s="13"/>
      <c r="AQ9" s="12"/>
      <c r="AR9" s="13"/>
      <c r="AS9" s="13"/>
      <c r="AT9" s="13"/>
      <c r="AU9" s="14"/>
      <c r="AV9" s="13"/>
      <c r="AW9" s="13"/>
      <c r="AX9" s="13"/>
      <c r="AY9" s="13"/>
      <c r="AZ9" s="15"/>
      <c r="BA9" s="17" t="s">
        <v>5</v>
      </c>
      <c r="BB9" s="15" t="s">
        <v>5</v>
      </c>
      <c r="BC9" s="15" t="s">
        <v>5</v>
      </c>
      <c r="BD9" s="15" t="s">
        <v>5</v>
      </c>
      <c r="BE9" s="16" t="s">
        <v>5</v>
      </c>
      <c r="BF9" s="17" t="s">
        <v>5</v>
      </c>
      <c r="BG9" s="15" t="s">
        <v>5</v>
      </c>
      <c r="BH9" s="15" t="s">
        <v>5</v>
      </c>
      <c r="BI9" s="15" t="s">
        <v>5</v>
      </c>
      <c r="BJ9" s="10" t="s">
        <v>6</v>
      </c>
      <c r="BK9" s="18"/>
      <c r="BL9" s="19"/>
      <c r="BM9" s="19"/>
      <c r="BN9" s="19"/>
      <c r="BO9" s="20"/>
      <c r="BP9" s="19"/>
      <c r="BQ9" s="19"/>
      <c r="BR9" s="19"/>
      <c r="BS9" s="19"/>
      <c r="BT9" s="19"/>
      <c r="BU9" s="12"/>
      <c r="BV9" s="13"/>
      <c r="BW9" s="13"/>
      <c r="BX9" s="13"/>
      <c r="BY9" s="14"/>
      <c r="BZ9" s="13"/>
      <c r="CA9" s="13"/>
      <c r="CB9" s="13"/>
      <c r="CC9" s="13"/>
      <c r="CD9" s="14"/>
      <c r="CE9" s="13"/>
      <c r="CF9" s="13"/>
      <c r="CG9" s="14"/>
      <c r="CH9" s="13"/>
    </row>
    <row r="10" hidden="1">
      <c r="A10" s="21"/>
      <c r="B10" s="21" t="s">
        <v>11</v>
      </c>
      <c r="C10" s="12"/>
      <c r="D10" s="13"/>
      <c r="E10" s="13"/>
      <c r="F10" s="13"/>
      <c r="G10" s="14"/>
      <c r="H10" s="12"/>
      <c r="I10" s="13"/>
      <c r="J10" s="13"/>
      <c r="K10" s="13"/>
      <c r="L10" s="14"/>
      <c r="M10" s="12"/>
      <c r="N10" s="13"/>
      <c r="O10" s="13"/>
      <c r="P10" s="13"/>
      <c r="Q10" s="13"/>
      <c r="R10" s="12"/>
      <c r="S10" s="13"/>
      <c r="T10" s="13"/>
      <c r="U10" s="13"/>
      <c r="V10" s="14"/>
      <c r="W10" s="13"/>
      <c r="X10" s="13"/>
      <c r="Y10" s="13"/>
      <c r="Z10" s="13"/>
      <c r="AA10" s="14"/>
      <c r="AB10" s="13"/>
      <c r="AC10" s="13"/>
      <c r="AD10" s="13"/>
      <c r="AE10" s="13"/>
      <c r="AF10" s="13"/>
      <c r="AG10" s="12"/>
      <c r="AH10" s="13"/>
      <c r="AI10" s="13"/>
      <c r="AJ10" s="13"/>
      <c r="AK10" s="14"/>
      <c r="AL10" s="13"/>
      <c r="AM10" s="13"/>
      <c r="AN10" s="13"/>
      <c r="AO10" s="13"/>
      <c r="AP10" s="13"/>
      <c r="AQ10" s="12"/>
      <c r="AR10" s="13"/>
      <c r="AS10" s="13"/>
      <c r="AT10" s="13"/>
      <c r="AU10" s="14"/>
      <c r="AV10" s="13"/>
      <c r="AW10" s="13"/>
      <c r="AX10" s="13"/>
      <c r="AY10" s="13"/>
      <c r="AZ10" s="13"/>
      <c r="BA10" s="12"/>
      <c r="BB10" s="13"/>
      <c r="BC10" s="13"/>
      <c r="BD10" s="13"/>
      <c r="BE10" s="14"/>
      <c r="BF10" s="12"/>
      <c r="BG10" s="13"/>
      <c r="BH10" s="13"/>
      <c r="BI10" s="13"/>
      <c r="BJ10" s="16"/>
      <c r="BK10" s="17" t="s">
        <v>5</v>
      </c>
      <c r="BL10" s="15" t="s">
        <v>5</v>
      </c>
      <c r="BM10" s="15" t="s">
        <v>5</v>
      </c>
      <c r="BN10" s="15" t="s">
        <v>5</v>
      </c>
      <c r="BO10" s="16" t="s">
        <v>5</v>
      </c>
      <c r="BP10" s="15" t="s">
        <v>5</v>
      </c>
      <c r="BQ10" s="15" t="s">
        <v>5</v>
      </c>
      <c r="BR10" s="15" t="s">
        <v>5</v>
      </c>
      <c r="BS10" s="15" t="s">
        <v>5</v>
      </c>
      <c r="BT10" s="9" t="s">
        <v>6</v>
      </c>
      <c r="BU10" s="18"/>
      <c r="BV10" s="19"/>
      <c r="BW10" s="19"/>
      <c r="BX10" s="19"/>
      <c r="BY10" s="20"/>
      <c r="BZ10" s="19"/>
      <c r="CA10" s="19"/>
      <c r="CB10" s="19"/>
      <c r="CC10" s="19"/>
      <c r="CD10" s="20"/>
      <c r="CE10" s="19"/>
      <c r="CF10" s="19"/>
      <c r="CG10" s="20"/>
      <c r="CH10" s="13"/>
    </row>
    <row r="11" hidden="1">
      <c r="A11" s="21"/>
      <c r="C11" s="12"/>
      <c r="D11" s="13"/>
      <c r="E11" s="13"/>
      <c r="F11" s="13"/>
      <c r="G11" s="14"/>
      <c r="H11" s="12"/>
      <c r="I11" s="13"/>
      <c r="J11" s="13"/>
      <c r="K11" s="13"/>
      <c r="L11" s="14"/>
      <c r="M11" s="12"/>
      <c r="N11" s="13"/>
      <c r="O11" s="13"/>
      <c r="P11" s="13"/>
      <c r="Q11" s="13"/>
      <c r="R11" s="12"/>
      <c r="S11" s="13"/>
      <c r="T11" s="13"/>
      <c r="U11" s="13"/>
      <c r="V11" s="14"/>
      <c r="W11" s="13"/>
      <c r="X11" s="13"/>
      <c r="Y11" s="13"/>
      <c r="Z11" s="13"/>
      <c r="AA11" s="14"/>
      <c r="AB11" s="13"/>
      <c r="AC11" s="13"/>
      <c r="AD11" s="13"/>
      <c r="AE11" s="13"/>
      <c r="AF11" s="13"/>
      <c r="AG11" s="12"/>
      <c r="AH11" s="13"/>
      <c r="AI11" s="13"/>
      <c r="AJ11" s="13"/>
      <c r="AK11" s="14"/>
      <c r="AL11" s="13"/>
      <c r="AM11" s="13"/>
      <c r="AN11" s="13"/>
      <c r="AO11" s="13"/>
      <c r="AP11" s="13"/>
      <c r="AQ11" s="12"/>
      <c r="AR11" s="13"/>
      <c r="AS11" s="13"/>
      <c r="AT11" s="13"/>
      <c r="AU11" s="14"/>
      <c r="AV11" s="13"/>
      <c r="AW11" s="13"/>
      <c r="AX11" s="13"/>
      <c r="AY11" s="13"/>
      <c r="AZ11" s="13"/>
      <c r="BA11" s="12"/>
      <c r="BB11" s="13"/>
      <c r="BC11" s="13"/>
      <c r="BD11" s="13"/>
      <c r="BE11" s="14"/>
      <c r="BF11" s="12"/>
      <c r="BG11" s="13"/>
      <c r="BH11" s="13"/>
      <c r="BI11" s="13"/>
      <c r="BJ11" s="14"/>
      <c r="BK11" s="12"/>
      <c r="BL11" s="13"/>
      <c r="BM11" s="13"/>
      <c r="BN11" s="13"/>
      <c r="BO11" s="14"/>
      <c r="BP11" s="13"/>
      <c r="BQ11" s="13"/>
      <c r="BR11" s="13"/>
      <c r="BS11" s="13"/>
      <c r="BT11" s="15"/>
      <c r="BU11" s="17" t="s">
        <v>5</v>
      </c>
      <c r="BV11" s="15" t="s">
        <v>5</v>
      </c>
      <c r="BW11" s="15" t="s">
        <v>5</v>
      </c>
      <c r="BX11" s="15" t="s">
        <v>5</v>
      </c>
      <c r="BY11" s="16" t="s">
        <v>5</v>
      </c>
      <c r="BZ11" s="15" t="s">
        <v>5</v>
      </c>
      <c r="CA11" s="15" t="s">
        <v>5</v>
      </c>
      <c r="CB11" s="15" t="s">
        <v>5</v>
      </c>
      <c r="CC11" s="15" t="s">
        <v>5</v>
      </c>
      <c r="CD11" s="16" t="s">
        <v>5</v>
      </c>
      <c r="CE11" s="15" t="s">
        <v>5</v>
      </c>
      <c r="CF11" s="9"/>
      <c r="CG11" s="10" t="s">
        <v>6</v>
      </c>
      <c r="CH11" s="13"/>
    </row>
    <row r="12" hidden="1">
      <c r="A12" s="21"/>
      <c r="C12" s="24"/>
      <c r="D12" s="22"/>
      <c r="E12" s="22"/>
      <c r="F12" s="22"/>
      <c r="G12" s="23"/>
      <c r="H12" s="24"/>
      <c r="I12" s="22"/>
      <c r="J12" s="22"/>
      <c r="K12" s="22"/>
      <c r="L12" s="23"/>
      <c r="M12" s="24"/>
      <c r="N12" s="22"/>
      <c r="O12" s="22"/>
      <c r="P12" s="22"/>
      <c r="Q12" s="22"/>
      <c r="R12" s="24"/>
      <c r="S12" s="22"/>
      <c r="T12" s="22"/>
      <c r="U12" s="22"/>
      <c r="V12" s="23"/>
      <c r="W12" s="22"/>
      <c r="X12" s="22"/>
      <c r="Y12" s="22"/>
      <c r="Z12" s="22"/>
      <c r="AA12" s="23"/>
      <c r="AB12" s="22"/>
      <c r="AC12" s="22"/>
      <c r="AD12" s="22"/>
      <c r="AE12" s="22"/>
      <c r="AF12" s="22"/>
      <c r="AG12" s="24"/>
      <c r="AH12" s="22"/>
      <c r="AI12" s="22"/>
      <c r="AJ12" s="22"/>
      <c r="AK12" s="23"/>
      <c r="AL12" s="22"/>
      <c r="AM12" s="22"/>
      <c r="AN12" s="22"/>
      <c r="AO12" s="22"/>
      <c r="AP12" s="22"/>
      <c r="AQ12" s="24"/>
      <c r="AR12" s="22"/>
      <c r="AS12" s="22"/>
      <c r="AT12" s="22"/>
      <c r="AU12" s="23"/>
      <c r="AV12" s="22"/>
      <c r="AW12" s="22"/>
      <c r="AX12" s="22"/>
      <c r="AY12" s="22"/>
      <c r="AZ12" s="22"/>
      <c r="BA12" s="24"/>
      <c r="BB12" s="22"/>
      <c r="BC12" s="22"/>
      <c r="BD12" s="22"/>
      <c r="BE12" s="23"/>
      <c r="BF12" s="24"/>
      <c r="BG12" s="22"/>
      <c r="BH12" s="22"/>
      <c r="BI12" s="22"/>
      <c r="BJ12" s="23"/>
      <c r="BK12" s="24"/>
      <c r="BL12" s="22"/>
      <c r="BM12" s="22"/>
      <c r="BN12" s="22"/>
      <c r="BO12" s="23"/>
      <c r="BP12" s="22"/>
      <c r="BQ12" s="22"/>
      <c r="BR12" s="22"/>
      <c r="BS12" s="22"/>
      <c r="BT12" s="22"/>
      <c r="BU12" s="24"/>
      <c r="BV12" s="22"/>
      <c r="BW12" s="22"/>
      <c r="BX12" s="22"/>
      <c r="BY12" s="23"/>
      <c r="BZ12" s="22"/>
      <c r="CA12" s="22"/>
      <c r="CB12" s="22"/>
      <c r="CC12" s="22"/>
      <c r="CD12" s="23"/>
      <c r="CE12" s="22"/>
      <c r="CF12" s="25"/>
      <c r="CG12" s="26"/>
      <c r="CH12" s="13"/>
    </row>
    <row r="13" hidden="1"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</row>
    <row r="14" hidden="1">
      <c r="C14" s="34" t="s">
        <v>12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30"/>
      <c r="S14" s="31" t="s">
        <v>13</v>
      </c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3"/>
      <c r="AL14" s="34" t="s">
        <v>14</v>
      </c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30"/>
      <c r="BK14" s="34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30"/>
      <c r="CH14" s="27"/>
    </row>
    <row r="15" hidden="1">
      <c r="C15" s="37">
        <v>7.0</v>
      </c>
      <c r="D15" s="35">
        <f t="shared" ref="D15:G15" si="18">C15+1</f>
        <v>8</v>
      </c>
      <c r="E15" s="35">
        <f t="shared" si="18"/>
        <v>9</v>
      </c>
      <c r="F15" s="35">
        <f t="shared" si="18"/>
        <v>10</v>
      </c>
      <c r="G15" s="36">
        <f t="shared" si="18"/>
        <v>11</v>
      </c>
      <c r="H15" s="37">
        <f>G15+3</f>
        <v>14</v>
      </c>
      <c r="I15" s="35">
        <f t="shared" ref="I15:L15" si="19">H15+1</f>
        <v>15</v>
      </c>
      <c r="J15" s="35">
        <f t="shared" si="19"/>
        <v>16</v>
      </c>
      <c r="K15" s="35">
        <f t="shared" si="19"/>
        <v>17</v>
      </c>
      <c r="L15" s="36">
        <f t="shared" si="19"/>
        <v>18</v>
      </c>
      <c r="M15" s="37">
        <f>L15+3</f>
        <v>21</v>
      </c>
      <c r="N15" s="35">
        <f t="shared" ref="N15:Q15" si="20">M15+1</f>
        <v>22</v>
      </c>
      <c r="O15" s="35">
        <f t="shared" si="20"/>
        <v>23</v>
      </c>
      <c r="P15" s="35">
        <f t="shared" si="20"/>
        <v>24</v>
      </c>
      <c r="Q15" s="35">
        <f t="shared" si="20"/>
        <v>25</v>
      </c>
      <c r="R15" s="37">
        <f>Q15+3</f>
        <v>28</v>
      </c>
      <c r="S15" s="35">
        <v>1.0</v>
      </c>
      <c r="T15" s="35">
        <f t="shared" ref="T15:V15" si="21">S15+1</f>
        <v>2</v>
      </c>
      <c r="U15" s="35">
        <f t="shared" si="21"/>
        <v>3</v>
      </c>
      <c r="V15" s="36">
        <f t="shared" si="21"/>
        <v>4</v>
      </c>
      <c r="W15" s="35">
        <v>7.0</v>
      </c>
      <c r="X15" s="35">
        <f t="shared" ref="X15:AA15" si="22">W15+1</f>
        <v>8</v>
      </c>
      <c r="Y15" s="35">
        <f t="shared" si="22"/>
        <v>9</v>
      </c>
      <c r="Z15" s="35">
        <f t="shared" si="22"/>
        <v>10</v>
      </c>
      <c r="AA15" s="36">
        <f t="shared" si="22"/>
        <v>11</v>
      </c>
      <c r="AB15" s="37">
        <f>AA15+3</f>
        <v>14</v>
      </c>
      <c r="AC15" s="35">
        <f t="shared" ref="AC15:AF15" si="23">AB15+1</f>
        <v>15</v>
      </c>
      <c r="AD15" s="35">
        <f t="shared" si="23"/>
        <v>16</v>
      </c>
      <c r="AE15" s="35">
        <f t="shared" si="23"/>
        <v>17</v>
      </c>
      <c r="AF15" s="36">
        <f t="shared" si="23"/>
        <v>18</v>
      </c>
      <c r="AG15" s="37">
        <f>AF15+3</f>
        <v>21</v>
      </c>
      <c r="AH15" s="35">
        <f t="shared" ref="AH15:AK15" si="24">AG15+1</f>
        <v>22</v>
      </c>
      <c r="AI15" s="35">
        <f t="shared" si="24"/>
        <v>23</v>
      </c>
      <c r="AJ15" s="35">
        <f t="shared" si="24"/>
        <v>24</v>
      </c>
      <c r="AK15" s="36">
        <f t="shared" si="24"/>
        <v>25</v>
      </c>
      <c r="AL15" s="37">
        <v>28.0</v>
      </c>
      <c r="AM15" s="35">
        <f t="shared" ref="AM15:AO15" si="25">AL15+1</f>
        <v>29</v>
      </c>
      <c r="AN15" s="35">
        <f t="shared" si="25"/>
        <v>30</v>
      </c>
      <c r="AO15" s="35">
        <f t="shared" si="25"/>
        <v>31</v>
      </c>
      <c r="AP15" s="36">
        <v>1.0</v>
      </c>
      <c r="AQ15" s="37">
        <f>AP15+3</f>
        <v>4</v>
      </c>
      <c r="AR15" s="35">
        <f t="shared" ref="AR15:AU15" si="26">AQ15+1</f>
        <v>5</v>
      </c>
      <c r="AS15" s="35">
        <f t="shared" si="26"/>
        <v>6</v>
      </c>
      <c r="AT15" s="35">
        <f t="shared" si="26"/>
        <v>7</v>
      </c>
      <c r="AU15" s="36">
        <f t="shared" si="26"/>
        <v>8</v>
      </c>
      <c r="AV15" s="37">
        <f>AU15+3</f>
        <v>11</v>
      </c>
      <c r="AW15" s="35">
        <f t="shared" ref="AW15:AZ15" si="27">AV15+1</f>
        <v>12</v>
      </c>
      <c r="AX15" s="35">
        <f t="shared" si="27"/>
        <v>13</v>
      </c>
      <c r="AY15" s="35">
        <f t="shared" si="27"/>
        <v>14</v>
      </c>
      <c r="AZ15" s="36">
        <f t="shared" si="27"/>
        <v>15</v>
      </c>
      <c r="BA15" s="37">
        <f>AZ15+3</f>
        <v>18</v>
      </c>
      <c r="BB15" s="35">
        <f t="shared" ref="BB15:BE15" si="28">BA15+1</f>
        <v>19</v>
      </c>
      <c r="BC15" s="35">
        <f t="shared" si="28"/>
        <v>20</v>
      </c>
      <c r="BD15" s="35">
        <f t="shared" si="28"/>
        <v>21</v>
      </c>
      <c r="BE15" s="36">
        <f t="shared" si="28"/>
        <v>22</v>
      </c>
      <c r="BF15" s="37">
        <f>BE15+3</f>
        <v>25</v>
      </c>
      <c r="BG15" s="35">
        <f t="shared" ref="BG15:BJ15" si="29">BF15+1</f>
        <v>26</v>
      </c>
      <c r="BH15" s="35">
        <f t="shared" si="29"/>
        <v>27</v>
      </c>
      <c r="BI15" s="35">
        <f t="shared" si="29"/>
        <v>28</v>
      </c>
      <c r="BJ15" s="36">
        <f t="shared" si="29"/>
        <v>29</v>
      </c>
      <c r="BK15" s="37">
        <v>2.0</v>
      </c>
      <c r="BL15" s="35">
        <f t="shared" ref="BL15:BO15" si="30">BK15+1</f>
        <v>3</v>
      </c>
      <c r="BM15" s="35">
        <f t="shared" si="30"/>
        <v>4</v>
      </c>
      <c r="BN15" s="35">
        <f t="shared" si="30"/>
        <v>5</v>
      </c>
      <c r="BO15" s="36">
        <f t="shared" si="30"/>
        <v>6</v>
      </c>
      <c r="BP15" s="37">
        <f>BO15+3</f>
        <v>9</v>
      </c>
      <c r="BQ15" s="35">
        <f t="shared" ref="BQ15:BT15" si="31">BP15+1</f>
        <v>10</v>
      </c>
      <c r="BR15" s="35">
        <f t="shared" si="31"/>
        <v>11</v>
      </c>
      <c r="BS15" s="35">
        <f t="shared" si="31"/>
        <v>12</v>
      </c>
      <c r="BT15" s="36">
        <f t="shared" si="31"/>
        <v>13</v>
      </c>
      <c r="BU15" s="37">
        <f>BT15+3</f>
        <v>16</v>
      </c>
      <c r="BV15" s="35">
        <f t="shared" ref="BV15:BY15" si="32">BU15+1</f>
        <v>17</v>
      </c>
      <c r="BW15" s="35">
        <f t="shared" si="32"/>
        <v>18</v>
      </c>
      <c r="BX15" s="35">
        <f t="shared" si="32"/>
        <v>19</v>
      </c>
      <c r="BY15" s="36">
        <f t="shared" si="32"/>
        <v>20</v>
      </c>
      <c r="BZ15" s="37">
        <f>BY15+3</f>
        <v>23</v>
      </c>
      <c r="CA15" s="35">
        <f t="shared" ref="CA15:CD15" si="33">BZ15+1</f>
        <v>24</v>
      </c>
      <c r="CB15" s="35">
        <f t="shared" si="33"/>
        <v>25</v>
      </c>
      <c r="CC15" s="35">
        <f t="shared" si="33"/>
        <v>26</v>
      </c>
      <c r="CD15" s="36">
        <f t="shared" si="33"/>
        <v>27</v>
      </c>
      <c r="CE15" s="35">
        <v>30.0</v>
      </c>
      <c r="CF15" s="35"/>
      <c r="CG15" s="36">
        <v>31.0</v>
      </c>
      <c r="CH15" s="27"/>
    </row>
    <row r="16">
      <c r="A16" s="38">
        <f>HLOOKUP("E",C16:CG25,10,FALSE)</f>
        <v>44963</v>
      </c>
      <c r="B16" s="49" t="s">
        <v>0</v>
      </c>
      <c r="C16" s="11" t="s">
        <v>6</v>
      </c>
      <c r="D16" s="9"/>
      <c r="E16" s="9"/>
      <c r="F16" s="9"/>
      <c r="G16" s="10"/>
      <c r="H16" s="11"/>
      <c r="I16" s="9"/>
      <c r="J16" s="9"/>
      <c r="K16" s="9"/>
      <c r="L16" s="10"/>
      <c r="M16" s="12"/>
      <c r="N16" s="13"/>
      <c r="O16" s="13"/>
      <c r="P16" s="13"/>
      <c r="Q16" s="13"/>
      <c r="R16" s="12"/>
      <c r="S16" s="13"/>
      <c r="T16" s="13"/>
      <c r="U16" s="13"/>
      <c r="V16" s="14"/>
      <c r="W16" s="13"/>
      <c r="X16" s="13"/>
      <c r="Y16" s="13"/>
      <c r="Z16" s="13"/>
      <c r="AA16" s="14"/>
      <c r="AB16" s="13"/>
      <c r="AC16" s="13"/>
      <c r="AD16" s="13"/>
      <c r="AE16" s="13"/>
      <c r="AF16" s="13"/>
      <c r="AG16" s="12"/>
      <c r="AH16" s="13"/>
      <c r="AI16" s="13"/>
      <c r="AJ16" s="13"/>
      <c r="AK16" s="14"/>
      <c r="AL16" s="13"/>
      <c r="AM16" s="13"/>
      <c r="AN16" s="13"/>
      <c r="AO16" s="13"/>
      <c r="AP16" s="13"/>
      <c r="AQ16" s="12"/>
      <c r="AR16" s="13"/>
      <c r="AS16" s="13"/>
      <c r="AT16" s="13"/>
      <c r="AU16" s="14"/>
      <c r="AV16" s="13"/>
      <c r="AW16" s="13"/>
      <c r="AX16" s="13"/>
      <c r="AY16" s="13"/>
      <c r="AZ16" s="13"/>
      <c r="BA16" s="12"/>
      <c r="BB16" s="13"/>
      <c r="BC16" s="13"/>
      <c r="BD16" s="13"/>
      <c r="BE16" s="14"/>
      <c r="BF16" s="12"/>
      <c r="BG16" s="13"/>
      <c r="BH16" s="13"/>
      <c r="BI16" s="13"/>
      <c r="BJ16" s="14"/>
      <c r="BK16" s="12"/>
      <c r="BL16" s="13"/>
      <c r="BM16" s="13"/>
      <c r="BN16" s="13"/>
      <c r="BO16" s="14"/>
      <c r="BP16" s="13"/>
      <c r="BQ16" s="13"/>
      <c r="BR16" s="13"/>
      <c r="BS16" s="13"/>
      <c r="BT16" s="13"/>
      <c r="BU16" s="12"/>
      <c r="BV16" s="13"/>
      <c r="BW16" s="13"/>
      <c r="BX16" s="13"/>
      <c r="BY16" s="14"/>
      <c r="BZ16" s="13"/>
      <c r="CA16" s="13"/>
      <c r="CB16" s="13"/>
      <c r="CC16" s="13"/>
      <c r="CD16" s="14"/>
      <c r="CE16" s="13"/>
      <c r="CF16" s="13"/>
      <c r="CG16" s="14"/>
      <c r="CH16" s="13"/>
    </row>
    <row r="17">
      <c r="A17" s="38">
        <f>HLOOKUP("E",C17:CG25,9,FALSE)</f>
        <v>44970</v>
      </c>
      <c r="B17" s="50" t="s">
        <v>15</v>
      </c>
      <c r="C17" s="11" t="s">
        <v>5</v>
      </c>
      <c r="D17" s="15" t="s">
        <v>5</v>
      </c>
      <c r="E17" s="15" t="s">
        <v>5</v>
      </c>
      <c r="F17" s="15" t="s">
        <v>5</v>
      </c>
      <c r="G17" s="10" t="s">
        <v>5</v>
      </c>
      <c r="H17" s="11" t="s">
        <v>6</v>
      </c>
      <c r="I17" s="9"/>
      <c r="J17" s="9"/>
      <c r="K17" s="9"/>
      <c r="L17" s="10"/>
      <c r="M17" s="11"/>
      <c r="N17" s="9"/>
      <c r="O17" s="9"/>
      <c r="P17" s="9"/>
      <c r="Q17" s="9"/>
      <c r="R17" s="18"/>
      <c r="S17" s="19"/>
      <c r="T17" s="19"/>
      <c r="U17" s="19"/>
      <c r="V17" s="20"/>
      <c r="W17" s="13"/>
      <c r="X17" s="13"/>
      <c r="Y17" s="13"/>
      <c r="Z17" s="13"/>
      <c r="AA17" s="14"/>
      <c r="AB17" s="13"/>
      <c r="AC17" s="13"/>
      <c r="AD17" s="13"/>
      <c r="AE17" s="13"/>
      <c r="AF17" s="13"/>
      <c r="AG17" s="12"/>
      <c r="AH17" s="13"/>
      <c r="AI17" s="13"/>
      <c r="AJ17" s="13"/>
      <c r="AK17" s="14"/>
      <c r="AL17" s="13"/>
      <c r="AM17" s="13"/>
      <c r="AN17" s="13"/>
      <c r="AO17" s="13"/>
      <c r="AP17" s="13"/>
      <c r="AQ17" s="12"/>
      <c r="AR17" s="13"/>
      <c r="AS17" s="13"/>
      <c r="AT17" s="13"/>
      <c r="AU17" s="14"/>
      <c r="AV17" s="13"/>
      <c r="AW17" s="13"/>
      <c r="AX17" s="13"/>
      <c r="AY17" s="13"/>
      <c r="AZ17" s="13"/>
      <c r="BA17" s="12"/>
      <c r="BB17" s="13"/>
      <c r="BC17" s="13"/>
      <c r="BD17" s="13"/>
      <c r="BE17" s="14"/>
      <c r="BF17" s="12"/>
      <c r="BG17" s="13"/>
      <c r="BH17" s="13"/>
      <c r="BI17" s="13"/>
      <c r="BJ17" s="14"/>
      <c r="BK17" s="12"/>
      <c r="BL17" s="13"/>
      <c r="BM17" s="13"/>
      <c r="BN17" s="13"/>
      <c r="BO17" s="14"/>
      <c r="BP17" s="13"/>
      <c r="BQ17" s="13"/>
      <c r="BR17" s="13"/>
      <c r="BS17" s="13"/>
      <c r="BT17" s="13"/>
      <c r="BU17" s="12"/>
      <c r="BV17" s="13"/>
      <c r="BW17" s="13"/>
      <c r="BX17" s="13"/>
      <c r="BY17" s="14"/>
      <c r="BZ17" s="13"/>
      <c r="CA17" s="13"/>
      <c r="CB17" s="13"/>
      <c r="CC17" s="13"/>
      <c r="CD17" s="14"/>
      <c r="CE17" s="13"/>
      <c r="CF17" s="13"/>
      <c r="CG17" s="14"/>
      <c r="CH17" s="13"/>
    </row>
    <row r="18">
      <c r="A18" s="38">
        <f>HLOOKUP("E",C18:CG25,8,FALSE)</f>
        <v>44977</v>
      </c>
      <c r="B18" s="50" t="s">
        <v>16</v>
      </c>
      <c r="C18" s="12"/>
      <c r="D18" s="13"/>
      <c r="E18" s="13"/>
      <c r="F18" s="13"/>
      <c r="G18" s="16"/>
      <c r="H18" s="11" t="s">
        <v>5</v>
      </c>
      <c r="I18" s="9" t="s">
        <v>5</v>
      </c>
      <c r="J18" s="9" t="s">
        <v>5</v>
      </c>
      <c r="K18" s="9" t="s">
        <v>5</v>
      </c>
      <c r="L18" s="10" t="s">
        <v>5</v>
      </c>
      <c r="M18" s="11" t="s">
        <v>6</v>
      </c>
      <c r="N18" s="9"/>
      <c r="O18" s="9"/>
      <c r="P18" s="9"/>
      <c r="Q18" s="9"/>
      <c r="R18" s="17"/>
      <c r="S18" s="15"/>
      <c r="T18" s="15"/>
      <c r="U18" s="15"/>
      <c r="V18" s="16"/>
      <c r="W18" s="9"/>
      <c r="X18" s="9"/>
      <c r="Y18" s="9"/>
      <c r="Z18" s="9"/>
      <c r="AA18" s="10"/>
      <c r="AB18" s="19"/>
      <c r="AC18" s="19"/>
      <c r="AD18" s="19"/>
      <c r="AE18" s="19"/>
      <c r="AF18" s="19"/>
      <c r="AG18" s="12"/>
      <c r="AH18" s="13"/>
      <c r="AI18" s="13"/>
      <c r="AJ18" s="13"/>
      <c r="AK18" s="14"/>
      <c r="AL18" s="13"/>
      <c r="AM18" s="13"/>
      <c r="AN18" s="13"/>
      <c r="AO18" s="13"/>
      <c r="AP18" s="13"/>
      <c r="AQ18" s="12"/>
      <c r="AR18" s="13"/>
      <c r="AS18" s="13"/>
      <c r="AT18" s="13"/>
      <c r="AU18" s="14"/>
      <c r="AV18" s="13"/>
      <c r="AW18" s="13"/>
      <c r="AX18" s="13"/>
      <c r="AY18" s="13"/>
      <c r="AZ18" s="13"/>
      <c r="BA18" s="12"/>
      <c r="BB18" s="13"/>
      <c r="BC18" s="13"/>
      <c r="BD18" s="13"/>
      <c r="BE18" s="14"/>
      <c r="BF18" s="12"/>
      <c r="BG18" s="13"/>
      <c r="BH18" s="13"/>
      <c r="BI18" s="13"/>
      <c r="BJ18" s="14"/>
      <c r="BK18" s="12"/>
      <c r="BL18" s="13"/>
      <c r="BM18" s="13"/>
      <c r="BN18" s="13"/>
      <c r="BO18" s="14"/>
      <c r="BP18" s="13"/>
      <c r="BQ18" s="13"/>
      <c r="BR18" s="13"/>
      <c r="BS18" s="13"/>
      <c r="BT18" s="13"/>
      <c r="BU18" s="12"/>
      <c r="BV18" s="13"/>
      <c r="BW18" s="13"/>
      <c r="BX18" s="13"/>
      <c r="BY18" s="14"/>
      <c r="BZ18" s="13"/>
      <c r="CA18" s="13"/>
      <c r="CB18" s="13"/>
      <c r="CC18" s="13"/>
      <c r="CD18" s="14"/>
      <c r="CE18" s="13"/>
      <c r="CF18" s="13"/>
      <c r="CG18" s="14"/>
      <c r="CH18" s="13"/>
    </row>
    <row r="19">
      <c r="A19" s="38">
        <f>HLOOKUP("E",C19:CG25,7,FALSE)</f>
        <v>45005</v>
      </c>
      <c r="B19" s="50" t="s">
        <v>8</v>
      </c>
      <c r="C19" s="12"/>
      <c r="D19" s="13"/>
      <c r="E19" s="13"/>
      <c r="F19" s="13"/>
      <c r="G19" s="14"/>
      <c r="H19" s="12"/>
      <c r="I19" s="13"/>
      <c r="J19" s="13"/>
      <c r="K19" s="13"/>
      <c r="L19" s="14"/>
      <c r="M19" s="9" t="s">
        <v>5</v>
      </c>
      <c r="N19" s="9" t="s">
        <v>5</v>
      </c>
      <c r="O19" s="9" t="s">
        <v>5</v>
      </c>
      <c r="P19" s="9" t="s">
        <v>5</v>
      </c>
      <c r="Q19" s="9" t="s">
        <v>5</v>
      </c>
      <c r="R19" s="11" t="s">
        <v>5</v>
      </c>
      <c r="S19" s="9" t="s">
        <v>5</v>
      </c>
      <c r="T19" s="9" t="s">
        <v>5</v>
      </c>
      <c r="U19" s="9" t="s">
        <v>5</v>
      </c>
      <c r="V19" s="9" t="s">
        <v>5</v>
      </c>
      <c r="W19" s="11" t="s">
        <v>5</v>
      </c>
      <c r="X19" s="9" t="s">
        <v>5</v>
      </c>
      <c r="Y19" s="9" t="s">
        <v>5</v>
      </c>
      <c r="Z19" s="9" t="s">
        <v>5</v>
      </c>
      <c r="AA19" s="10" t="s">
        <v>5</v>
      </c>
      <c r="AB19" s="9" t="s">
        <v>5</v>
      </c>
      <c r="AC19" s="9" t="s">
        <v>5</v>
      </c>
      <c r="AD19" s="9" t="s">
        <v>5</v>
      </c>
      <c r="AE19" s="9" t="s">
        <v>5</v>
      </c>
      <c r="AF19" s="10" t="s">
        <v>5</v>
      </c>
      <c r="AG19" s="9" t="s">
        <v>6</v>
      </c>
      <c r="AH19" s="9"/>
      <c r="AI19" s="9"/>
      <c r="AJ19" s="9"/>
      <c r="AK19" s="9"/>
      <c r="AL19" s="11"/>
      <c r="AM19" s="9"/>
      <c r="AN19" s="9"/>
      <c r="AO19" s="9"/>
      <c r="AP19" s="10"/>
      <c r="AQ19" s="9"/>
      <c r="AR19" s="9"/>
      <c r="AS19" s="9"/>
      <c r="AT19" s="9"/>
      <c r="AU19" s="9"/>
      <c r="AV19" s="11"/>
      <c r="AW19" s="9"/>
      <c r="AX19" s="9"/>
      <c r="AY19" s="9"/>
      <c r="AZ19" s="10"/>
      <c r="BA19" s="19"/>
      <c r="BB19" s="19"/>
      <c r="BC19" s="19"/>
      <c r="BD19" s="19"/>
      <c r="BE19" s="19"/>
      <c r="BF19" s="12"/>
      <c r="BG19" s="13"/>
      <c r="BH19" s="13"/>
      <c r="BI19" s="13"/>
      <c r="BJ19" s="14"/>
      <c r="BK19" s="12"/>
      <c r="BL19" s="13"/>
      <c r="BM19" s="13"/>
      <c r="BN19" s="13"/>
      <c r="BO19" s="14"/>
      <c r="BP19" s="12"/>
      <c r="BQ19" s="13"/>
      <c r="BR19" s="13"/>
      <c r="BS19" s="13"/>
      <c r="BT19" s="14"/>
      <c r="BU19" s="13"/>
      <c r="BV19" s="13"/>
      <c r="BW19" s="13"/>
      <c r="BX19" s="13"/>
      <c r="BY19" s="13"/>
      <c r="BZ19" s="12"/>
      <c r="CA19" s="13"/>
      <c r="CB19" s="13"/>
      <c r="CC19" s="13"/>
      <c r="CD19" s="14"/>
      <c r="CE19" s="13"/>
      <c r="CF19" s="13"/>
      <c r="CG19" s="14"/>
      <c r="CH19" s="13"/>
    </row>
    <row r="20">
      <c r="A20" s="38">
        <f>HLOOKUP("E",C20:CG25,6,FALSE)</f>
        <v>45026</v>
      </c>
      <c r="B20" s="50" t="s">
        <v>9</v>
      </c>
      <c r="C20" s="12"/>
      <c r="D20" s="13"/>
      <c r="E20" s="13"/>
      <c r="F20" s="13"/>
      <c r="G20" s="14"/>
      <c r="H20" s="12"/>
      <c r="I20" s="13"/>
      <c r="J20" s="13"/>
      <c r="K20" s="13"/>
      <c r="L20" s="14"/>
      <c r="M20" s="13"/>
      <c r="N20" s="13"/>
      <c r="O20" s="13"/>
      <c r="P20" s="13"/>
      <c r="Q20" s="13"/>
      <c r="R20" s="12"/>
      <c r="S20" s="13"/>
      <c r="T20" s="13"/>
      <c r="U20" s="13"/>
      <c r="V20" s="13"/>
      <c r="W20" s="12"/>
      <c r="X20" s="13"/>
      <c r="Y20" s="13"/>
      <c r="Z20" s="13"/>
      <c r="AA20" s="14"/>
      <c r="AB20" s="13"/>
      <c r="AC20" s="13"/>
      <c r="AD20" s="13"/>
      <c r="AE20" s="13"/>
      <c r="AF20" s="14"/>
      <c r="AG20" s="9" t="s">
        <v>5</v>
      </c>
      <c r="AH20" s="9" t="s">
        <v>5</v>
      </c>
      <c r="AI20" s="9" t="s">
        <v>5</v>
      </c>
      <c r="AJ20" s="9" t="s">
        <v>5</v>
      </c>
      <c r="AK20" s="9" t="s">
        <v>5</v>
      </c>
      <c r="AL20" s="11" t="s">
        <v>5</v>
      </c>
      <c r="AM20" s="9" t="s">
        <v>5</v>
      </c>
      <c r="AN20" s="9" t="s">
        <v>5</v>
      </c>
      <c r="AO20" s="9" t="s">
        <v>5</v>
      </c>
      <c r="AP20" s="10" t="s">
        <v>5</v>
      </c>
      <c r="AQ20" s="9" t="s">
        <v>5</v>
      </c>
      <c r="AR20" s="9" t="s">
        <v>5</v>
      </c>
      <c r="AS20" s="9" t="s">
        <v>5</v>
      </c>
      <c r="AT20" s="9" t="s">
        <v>5</v>
      </c>
      <c r="AU20" s="9" t="s">
        <v>5</v>
      </c>
      <c r="AV20" s="11" t="s">
        <v>6</v>
      </c>
      <c r="AW20" s="9"/>
      <c r="AX20" s="9"/>
      <c r="AY20" s="9"/>
      <c r="AZ20" s="10"/>
      <c r="BA20" s="17"/>
      <c r="BB20" s="15"/>
      <c r="BC20" s="15"/>
      <c r="BD20" s="15"/>
      <c r="BE20" s="15"/>
      <c r="BF20" s="11"/>
      <c r="BG20" s="9"/>
      <c r="BH20" s="9"/>
      <c r="BI20" s="9"/>
      <c r="BJ20" s="10"/>
      <c r="BK20" s="18"/>
      <c r="BL20" s="19"/>
      <c r="BM20" s="19"/>
      <c r="BN20" s="19"/>
      <c r="BO20" s="20"/>
      <c r="BP20" s="12"/>
      <c r="BQ20" s="13"/>
      <c r="BR20" s="13"/>
      <c r="BS20" s="13"/>
      <c r="BT20" s="14"/>
      <c r="BU20" s="13"/>
      <c r="BV20" s="13"/>
      <c r="BW20" s="13"/>
      <c r="BX20" s="13"/>
      <c r="BY20" s="13"/>
      <c r="BZ20" s="12"/>
      <c r="CA20" s="13"/>
      <c r="CB20" s="13"/>
      <c r="CC20" s="13"/>
      <c r="CD20" s="14"/>
      <c r="CE20" s="13"/>
      <c r="CF20" s="13"/>
      <c r="CG20" s="14"/>
      <c r="CH20" s="13"/>
    </row>
    <row r="21">
      <c r="A21" s="38">
        <f>HLOOKUP("E",C21:CG25,5,FALSE)</f>
        <v>45047</v>
      </c>
      <c r="B21" s="50" t="s">
        <v>10</v>
      </c>
      <c r="C21" s="12"/>
      <c r="D21" s="13"/>
      <c r="E21" s="13"/>
      <c r="F21" s="13"/>
      <c r="G21" s="14"/>
      <c r="H21" s="12"/>
      <c r="I21" s="13"/>
      <c r="J21" s="13"/>
      <c r="K21" s="13"/>
      <c r="L21" s="14"/>
      <c r="M21" s="13"/>
      <c r="N21" s="13"/>
      <c r="O21" s="13"/>
      <c r="P21" s="13"/>
      <c r="Q21" s="13"/>
      <c r="R21" s="12"/>
      <c r="S21" s="13"/>
      <c r="T21" s="13"/>
      <c r="U21" s="13"/>
      <c r="V21" s="13"/>
      <c r="W21" s="12"/>
      <c r="X21" s="13"/>
      <c r="Y21" s="13"/>
      <c r="Z21" s="13"/>
      <c r="AA21" s="14"/>
      <c r="AB21" s="13"/>
      <c r="AC21" s="13"/>
      <c r="AD21" s="13"/>
      <c r="AE21" s="13"/>
      <c r="AF21" s="14"/>
      <c r="AG21" s="13"/>
      <c r="AH21" s="13"/>
      <c r="AI21" s="13"/>
      <c r="AJ21" s="13"/>
      <c r="AK21" s="13"/>
      <c r="AL21" s="12"/>
      <c r="AM21" s="13"/>
      <c r="AN21" s="13"/>
      <c r="AO21" s="13"/>
      <c r="AP21" s="14"/>
      <c r="AQ21" s="13"/>
      <c r="AR21" s="13"/>
      <c r="AS21" s="13"/>
      <c r="AT21" s="13"/>
      <c r="AU21" s="13"/>
      <c r="AV21" s="11" t="s">
        <v>5</v>
      </c>
      <c r="AW21" s="9" t="s">
        <v>5</v>
      </c>
      <c r="AX21" s="9" t="s">
        <v>5</v>
      </c>
      <c r="AY21" s="9" t="s">
        <v>5</v>
      </c>
      <c r="AZ21" s="10" t="s">
        <v>5</v>
      </c>
      <c r="BA21" s="9" t="s">
        <v>5</v>
      </c>
      <c r="BB21" s="9" t="s">
        <v>5</v>
      </c>
      <c r="BC21" s="9" t="s">
        <v>5</v>
      </c>
      <c r="BD21" s="9" t="s">
        <v>5</v>
      </c>
      <c r="BE21" s="9" t="s">
        <v>5</v>
      </c>
      <c r="BF21" s="11" t="s">
        <v>5</v>
      </c>
      <c r="BG21" s="9" t="s">
        <v>5</v>
      </c>
      <c r="BH21" s="9" t="s">
        <v>5</v>
      </c>
      <c r="BI21" s="9" t="s">
        <v>5</v>
      </c>
      <c r="BJ21" s="10" t="s">
        <v>5</v>
      </c>
      <c r="BK21" s="11" t="s">
        <v>6</v>
      </c>
      <c r="BL21" s="9"/>
      <c r="BM21" s="9"/>
      <c r="BN21" s="9"/>
      <c r="BO21" s="10"/>
      <c r="BP21" s="11"/>
      <c r="BQ21" s="9"/>
      <c r="BR21" s="9"/>
      <c r="BS21" s="9"/>
      <c r="BT21" s="10"/>
      <c r="BU21" s="19"/>
      <c r="BV21" s="19"/>
      <c r="BW21" s="19"/>
      <c r="BX21" s="19"/>
      <c r="BY21" s="19"/>
      <c r="BZ21" s="12"/>
      <c r="CA21" s="13"/>
      <c r="CB21" s="13"/>
      <c r="CC21" s="13"/>
      <c r="CD21" s="14"/>
      <c r="CE21" s="13"/>
      <c r="CF21" s="13"/>
      <c r="CG21" s="14"/>
      <c r="CH21" s="13"/>
    </row>
    <row r="22">
      <c r="A22" s="38">
        <f>HLOOKUP("E",C22:CG25,4,FALSE)</f>
        <v>45077</v>
      </c>
      <c r="B22" s="50" t="s">
        <v>11</v>
      </c>
      <c r="C22" s="12"/>
      <c r="D22" s="13"/>
      <c r="E22" s="13"/>
      <c r="F22" s="13"/>
      <c r="G22" s="14"/>
      <c r="H22" s="12"/>
      <c r="I22" s="13"/>
      <c r="J22" s="13"/>
      <c r="K22" s="13"/>
      <c r="L22" s="14"/>
      <c r="M22" s="13"/>
      <c r="N22" s="13"/>
      <c r="O22" s="13"/>
      <c r="P22" s="13"/>
      <c r="Q22" s="13"/>
      <c r="R22" s="12"/>
      <c r="S22" s="13"/>
      <c r="T22" s="13"/>
      <c r="U22" s="13"/>
      <c r="V22" s="13"/>
      <c r="W22" s="12"/>
      <c r="X22" s="13"/>
      <c r="Y22" s="13"/>
      <c r="Z22" s="13"/>
      <c r="AA22" s="14"/>
      <c r="AB22" s="13"/>
      <c r="AC22" s="13"/>
      <c r="AD22" s="13"/>
      <c r="AE22" s="13"/>
      <c r="AF22" s="14"/>
      <c r="AG22" s="13"/>
      <c r="AH22" s="13"/>
      <c r="AI22" s="13"/>
      <c r="AJ22" s="13"/>
      <c r="AK22" s="13"/>
      <c r="AL22" s="12"/>
      <c r="AM22" s="13"/>
      <c r="AN22" s="13"/>
      <c r="AO22" s="13"/>
      <c r="AP22" s="14"/>
      <c r="AQ22" s="13"/>
      <c r="AR22" s="13"/>
      <c r="AS22" s="13"/>
      <c r="AT22" s="13"/>
      <c r="AU22" s="13"/>
      <c r="AV22" s="12"/>
      <c r="AW22" s="13"/>
      <c r="AX22" s="13"/>
      <c r="AY22" s="13"/>
      <c r="AZ22" s="14"/>
      <c r="BA22" s="13"/>
      <c r="BB22" s="13"/>
      <c r="BC22" s="13"/>
      <c r="BD22" s="13"/>
      <c r="BE22" s="13"/>
      <c r="BF22" s="12"/>
      <c r="BG22" s="13"/>
      <c r="BH22" s="13"/>
      <c r="BI22" s="13"/>
      <c r="BJ22" s="14"/>
      <c r="BK22" s="11" t="s">
        <v>5</v>
      </c>
      <c r="BL22" s="9" t="s">
        <v>5</v>
      </c>
      <c r="BM22" s="9" t="s">
        <v>5</v>
      </c>
      <c r="BN22" s="9" t="s">
        <v>5</v>
      </c>
      <c r="BO22" s="10" t="s">
        <v>5</v>
      </c>
      <c r="BP22" s="11" t="s">
        <v>5</v>
      </c>
      <c r="BQ22" s="9" t="s">
        <v>5</v>
      </c>
      <c r="BR22" s="9" t="s">
        <v>5</v>
      </c>
      <c r="BS22" s="9" t="s">
        <v>5</v>
      </c>
      <c r="BT22" s="10" t="s">
        <v>5</v>
      </c>
      <c r="BU22" s="9" t="s">
        <v>5</v>
      </c>
      <c r="BV22" s="9" t="s">
        <v>5</v>
      </c>
      <c r="BW22" s="9" t="s">
        <v>5</v>
      </c>
      <c r="BX22" s="9" t="s">
        <v>5</v>
      </c>
      <c r="BY22" s="9" t="s">
        <v>5</v>
      </c>
      <c r="BZ22" s="11" t="s">
        <v>5</v>
      </c>
      <c r="CA22" s="9" t="s">
        <v>5</v>
      </c>
      <c r="CB22" s="9" t="s">
        <v>5</v>
      </c>
      <c r="CC22" s="9" t="s">
        <v>5</v>
      </c>
      <c r="CD22" s="10" t="s">
        <v>5</v>
      </c>
      <c r="CE22" s="9" t="s">
        <v>5</v>
      </c>
      <c r="CF22" s="9" t="s">
        <v>5</v>
      </c>
      <c r="CG22" s="10" t="s">
        <v>6</v>
      </c>
      <c r="CH22" s="13"/>
    </row>
    <row r="23">
      <c r="A23" s="38"/>
      <c r="B23" s="51"/>
      <c r="C23" s="12"/>
      <c r="D23" s="13"/>
      <c r="E23" s="13"/>
      <c r="F23" s="13"/>
      <c r="G23" s="14"/>
      <c r="H23" s="12"/>
      <c r="I23" s="13"/>
      <c r="J23" s="13"/>
      <c r="K23" s="13"/>
      <c r="L23" s="14"/>
      <c r="M23" s="12"/>
      <c r="N23" s="13"/>
      <c r="O23" s="13"/>
      <c r="P23" s="13"/>
      <c r="Q23" s="13"/>
      <c r="R23" s="12"/>
      <c r="S23" s="13"/>
      <c r="T23" s="13"/>
      <c r="U23" s="13"/>
      <c r="V23" s="14"/>
      <c r="W23" s="13"/>
      <c r="X23" s="13"/>
      <c r="Y23" s="13"/>
      <c r="Z23" s="13"/>
      <c r="AA23" s="14"/>
      <c r="AB23" s="13"/>
      <c r="AC23" s="13"/>
      <c r="AD23" s="13"/>
      <c r="AE23" s="13"/>
      <c r="AF23" s="13"/>
      <c r="AG23" s="12"/>
      <c r="AH23" s="13"/>
      <c r="AI23" s="13"/>
      <c r="AJ23" s="13"/>
      <c r="AK23" s="14"/>
      <c r="AL23" s="13"/>
      <c r="AM23" s="13"/>
      <c r="AN23" s="13"/>
      <c r="AO23" s="13"/>
      <c r="AP23" s="13"/>
      <c r="AQ23" s="12"/>
      <c r="AR23" s="13"/>
      <c r="AS23" s="13"/>
      <c r="AT23" s="13"/>
      <c r="AU23" s="14"/>
      <c r="AV23" s="13"/>
      <c r="AW23" s="13"/>
      <c r="AX23" s="13"/>
      <c r="AY23" s="13"/>
      <c r="AZ23" s="13"/>
      <c r="BA23" s="12"/>
      <c r="BB23" s="13"/>
      <c r="BC23" s="13"/>
      <c r="BD23" s="13"/>
      <c r="BE23" s="14"/>
      <c r="BF23" s="12"/>
      <c r="BG23" s="13"/>
      <c r="BH23" s="13"/>
      <c r="BI23" s="13"/>
      <c r="BJ23" s="14"/>
      <c r="BK23" s="12"/>
      <c r="BL23" s="13"/>
      <c r="BM23" s="13"/>
      <c r="BN23" s="13"/>
      <c r="BO23" s="14"/>
      <c r="BP23" s="13"/>
      <c r="BQ23" s="13"/>
      <c r="BR23" s="13"/>
      <c r="BS23" s="13"/>
      <c r="BT23" s="13"/>
      <c r="BU23" s="12"/>
      <c r="BV23" s="13"/>
      <c r="BW23" s="13"/>
      <c r="BX23" s="13"/>
      <c r="BY23" s="14"/>
      <c r="BZ23" s="13"/>
      <c r="CA23" s="13"/>
      <c r="CB23" s="13"/>
      <c r="CC23" s="13"/>
      <c r="CD23" s="14"/>
      <c r="CE23" s="13"/>
      <c r="CF23" s="13"/>
      <c r="CG23" s="14"/>
      <c r="CH23" s="13"/>
    </row>
    <row r="24">
      <c r="A24" s="52"/>
      <c r="B24" s="48"/>
      <c r="C24" s="24"/>
      <c r="D24" s="22"/>
      <c r="E24" s="22"/>
      <c r="F24" s="22"/>
      <c r="G24" s="23"/>
      <c r="H24" s="24"/>
      <c r="I24" s="22"/>
      <c r="J24" s="22"/>
      <c r="K24" s="22"/>
      <c r="L24" s="23"/>
      <c r="M24" s="24"/>
      <c r="N24" s="22"/>
      <c r="O24" s="22"/>
      <c r="P24" s="22"/>
      <c r="Q24" s="22"/>
      <c r="R24" s="24"/>
      <c r="S24" s="22"/>
      <c r="T24" s="22"/>
      <c r="U24" s="22"/>
      <c r="V24" s="23"/>
      <c r="W24" s="22"/>
      <c r="X24" s="22"/>
      <c r="Y24" s="22"/>
      <c r="Z24" s="22"/>
      <c r="AA24" s="23"/>
      <c r="AB24" s="22"/>
      <c r="AC24" s="22"/>
      <c r="AD24" s="22"/>
      <c r="AE24" s="22"/>
      <c r="AF24" s="22"/>
      <c r="AG24" s="24"/>
      <c r="AH24" s="22"/>
      <c r="AI24" s="22"/>
      <c r="AJ24" s="22"/>
      <c r="AK24" s="23"/>
      <c r="AL24" s="22"/>
      <c r="AM24" s="22"/>
      <c r="AN24" s="22"/>
      <c r="AO24" s="22"/>
      <c r="AP24" s="22"/>
      <c r="AQ24" s="24"/>
      <c r="AR24" s="22"/>
      <c r="AS24" s="22"/>
      <c r="AT24" s="22"/>
      <c r="AU24" s="23"/>
      <c r="AV24" s="22"/>
      <c r="AW24" s="22"/>
      <c r="AX24" s="22"/>
      <c r="AY24" s="22"/>
      <c r="AZ24" s="22"/>
      <c r="BA24" s="24"/>
      <c r="BB24" s="22"/>
      <c r="BC24" s="22"/>
      <c r="BD24" s="22"/>
      <c r="BE24" s="23"/>
      <c r="BF24" s="24"/>
      <c r="BG24" s="22"/>
      <c r="BH24" s="22"/>
      <c r="BI24" s="22"/>
      <c r="BJ24" s="23"/>
      <c r="BK24" s="24"/>
      <c r="BL24" s="22"/>
      <c r="BM24" s="22"/>
      <c r="BN24" s="22"/>
      <c r="BO24" s="23"/>
      <c r="BP24" s="22"/>
      <c r="BQ24" s="22"/>
      <c r="BR24" s="22"/>
      <c r="BS24" s="22"/>
      <c r="BT24" s="22"/>
      <c r="BU24" s="24"/>
      <c r="BV24" s="22"/>
      <c r="BW24" s="22"/>
      <c r="BX24" s="22"/>
      <c r="BY24" s="23"/>
      <c r="BZ24" s="22"/>
      <c r="CA24" s="22"/>
      <c r="CB24" s="22"/>
      <c r="CC24" s="22"/>
      <c r="CD24" s="23"/>
      <c r="CE24" s="22"/>
      <c r="CF24" s="22"/>
      <c r="CG24" s="23"/>
      <c r="CH24" s="13"/>
    </row>
    <row r="25" hidden="1">
      <c r="A25" s="39"/>
      <c r="B25" s="39"/>
      <c r="C25" s="42">
        <v>44963.0</v>
      </c>
      <c r="D25" s="40">
        <f t="shared" ref="D25:G25" si="34">C25+1</f>
        <v>44964</v>
      </c>
      <c r="E25" s="40">
        <f t="shared" si="34"/>
        <v>44965</v>
      </c>
      <c r="F25" s="40">
        <f t="shared" si="34"/>
        <v>44966</v>
      </c>
      <c r="G25" s="41">
        <f t="shared" si="34"/>
        <v>44967</v>
      </c>
      <c r="H25" s="42">
        <f>G25+3</f>
        <v>44970</v>
      </c>
      <c r="I25" s="40">
        <f t="shared" ref="I25:L25" si="35">H25+1</f>
        <v>44971</v>
      </c>
      <c r="J25" s="40">
        <f t="shared" si="35"/>
        <v>44972</v>
      </c>
      <c r="K25" s="40">
        <f t="shared" si="35"/>
        <v>44973</v>
      </c>
      <c r="L25" s="41">
        <f t="shared" si="35"/>
        <v>44974</v>
      </c>
      <c r="M25" s="42">
        <f>L25+3</f>
        <v>44977</v>
      </c>
      <c r="N25" s="40">
        <f t="shared" ref="N25:Q25" si="36">M25+1</f>
        <v>44978</v>
      </c>
      <c r="O25" s="40">
        <f t="shared" si="36"/>
        <v>44979</v>
      </c>
      <c r="P25" s="40">
        <f t="shared" si="36"/>
        <v>44980</v>
      </c>
      <c r="Q25" s="40">
        <f t="shared" si="36"/>
        <v>44981</v>
      </c>
      <c r="R25" s="42">
        <f>Q25+3</f>
        <v>44984</v>
      </c>
      <c r="S25" s="42">
        <f t="shared" ref="S25:V25" si="37">R25+1</f>
        <v>44985</v>
      </c>
      <c r="T25" s="42">
        <f t="shared" si="37"/>
        <v>44986</v>
      </c>
      <c r="U25" s="42">
        <f t="shared" si="37"/>
        <v>44987</v>
      </c>
      <c r="V25" s="42">
        <f t="shared" si="37"/>
        <v>44988</v>
      </c>
      <c r="W25" s="42">
        <f>V25+3</f>
        <v>44991</v>
      </c>
      <c r="X25" s="42">
        <f t="shared" ref="X25:AA25" si="38">W25+1</f>
        <v>44992</v>
      </c>
      <c r="Y25" s="42">
        <f t="shared" si="38"/>
        <v>44993</v>
      </c>
      <c r="Z25" s="42">
        <f t="shared" si="38"/>
        <v>44994</v>
      </c>
      <c r="AA25" s="42">
        <f t="shared" si="38"/>
        <v>44995</v>
      </c>
      <c r="AB25" s="42">
        <f>AA25+3</f>
        <v>44998</v>
      </c>
      <c r="AC25" s="42">
        <f t="shared" ref="AC25:AF25" si="39">AB25+1</f>
        <v>44999</v>
      </c>
      <c r="AD25" s="42">
        <f t="shared" si="39"/>
        <v>45000</v>
      </c>
      <c r="AE25" s="42">
        <f t="shared" si="39"/>
        <v>45001</v>
      </c>
      <c r="AF25" s="42">
        <f t="shared" si="39"/>
        <v>45002</v>
      </c>
      <c r="AG25" s="42">
        <f>AF25+3</f>
        <v>45005</v>
      </c>
      <c r="AH25" s="42">
        <f t="shared" ref="AH25:AK25" si="40">AG25+1</f>
        <v>45006</v>
      </c>
      <c r="AI25" s="42">
        <f t="shared" si="40"/>
        <v>45007</v>
      </c>
      <c r="AJ25" s="42">
        <f t="shared" si="40"/>
        <v>45008</v>
      </c>
      <c r="AK25" s="42">
        <f t="shared" si="40"/>
        <v>45009</v>
      </c>
      <c r="AL25" s="42">
        <f>AK25+3</f>
        <v>45012</v>
      </c>
      <c r="AM25" s="42">
        <f t="shared" ref="AM25:AP25" si="41">AL25+1</f>
        <v>45013</v>
      </c>
      <c r="AN25" s="42">
        <f t="shared" si="41"/>
        <v>45014</v>
      </c>
      <c r="AO25" s="42">
        <f t="shared" si="41"/>
        <v>45015</v>
      </c>
      <c r="AP25" s="42">
        <f t="shared" si="41"/>
        <v>45016</v>
      </c>
      <c r="AQ25" s="42">
        <f>AP25+3</f>
        <v>45019</v>
      </c>
      <c r="AR25" s="42">
        <f t="shared" ref="AR25:AU25" si="42">AQ25+1</f>
        <v>45020</v>
      </c>
      <c r="AS25" s="42">
        <f t="shared" si="42"/>
        <v>45021</v>
      </c>
      <c r="AT25" s="42">
        <f t="shared" si="42"/>
        <v>45022</v>
      </c>
      <c r="AU25" s="42">
        <f t="shared" si="42"/>
        <v>45023</v>
      </c>
      <c r="AV25" s="42">
        <f>AU25+3</f>
        <v>45026</v>
      </c>
      <c r="AW25" s="42">
        <f t="shared" ref="AW25:AZ25" si="43">AV25+1</f>
        <v>45027</v>
      </c>
      <c r="AX25" s="42">
        <f t="shared" si="43"/>
        <v>45028</v>
      </c>
      <c r="AY25" s="42">
        <f t="shared" si="43"/>
        <v>45029</v>
      </c>
      <c r="AZ25" s="42">
        <f t="shared" si="43"/>
        <v>45030</v>
      </c>
      <c r="BA25" s="42">
        <f>AZ25+3</f>
        <v>45033</v>
      </c>
      <c r="BB25" s="42">
        <f t="shared" ref="BB25:BE25" si="44">BA25+1</f>
        <v>45034</v>
      </c>
      <c r="BC25" s="42">
        <f t="shared" si="44"/>
        <v>45035</v>
      </c>
      <c r="BD25" s="42">
        <f t="shared" si="44"/>
        <v>45036</v>
      </c>
      <c r="BE25" s="42">
        <f t="shared" si="44"/>
        <v>45037</v>
      </c>
      <c r="BF25" s="42">
        <f>BE25+3</f>
        <v>45040</v>
      </c>
      <c r="BG25" s="42">
        <f t="shared" ref="BG25:BJ25" si="45">BF25+1</f>
        <v>45041</v>
      </c>
      <c r="BH25" s="42">
        <f t="shared" si="45"/>
        <v>45042</v>
      </c>
      <c r="BI25" s="42">
        <f t="shared" si="45"/>
        <v>45043</v>
      </c>
      <c r="BJ25" s="42">
        <f t="shared" si="45"/>
        <v>45044</v>
      </c>
      <c r="BK25" s="42">
        <f>BJ25+3</f>
        <v>45047</v>
      </c>
      <c r="BL25" s="42">
        <f t="shared" ref="BL25:BO25" si="46">BK25+1</f>
        <v>45048</v>
      </c>
      <c r="BM25" s="42">
        <f t="shared" si="46"/>
        <v>45049</v>
      </c>
      <c r="BN25" s="42">
        <f t="shared" si="46"/>
        <v>45050</v>
      </c>
      <c r="BO25" s="42">
        <f t="shared" si="46"/>
        <v>45051</v>
      </c>
      <c r="BP25" s="42">
        <f>BO25+3</f>
        <v>45054</v>
      </c>
      <c r="BQ25" s="42">
        <f t="shared" ref="BQ25:BT25" si="47">BP25+1</f>
        <v>45055</v>
      </c>
      <c r="BR25" s="42">
        <f t="shared" si="47"/>
        <v>45056</v>
      </c>
      <c r="BS25" s="42">
        <f t="shared" si="47"/>
        <v>45057</v>
      </c>
      <c r="BT25" s="42">
        <f t="shared" si="47"/>
        <v>45058</v>
      </c>
      <c r="BU25" s="42">
        <f>BT25+3</f>
        <v>45061</v>
      </c>
      <c r="BV25" s="42">
        <f t="shared" ref="BV25:BY25" si="48">BU25+1</f>
        <v>45062</v>
      </c>
      <c r="BW25" s="42">
        <f t="shared" si="48"/>
        <v>45063</v>
      </c>
      <c r="BX25" s="42">
        <f t="shared" si="48"/>
        <v>45064</v>
      </c>
      <c r="BY25" s="42">
        <f t="shared" si="48"/>
        <v>45065</v>
      </c>
      <c r="BZ25" s="42">
        <f>BY25+3</f>
        <v>45068</v>
      </c>
      <c r="CA25" s="42">
        <f t="shared" ref="CA25:CD25" si="49">BZ25+1</f>
        <v>45069</v>
      </c>
      <c r="CB25" s="42">
        <f t="shared" si="49"/>
        <v>45070</v>
      </c>
      <c r="CC25" s="42">
        <f t="shared" si="49"/>
        <v>45071</v>
      </c>
      <c r="CD25" s="42">
        <f t="shared" si="49"/>
        <v>45072</v>
      </c>
      <c r="CE25" s="42">
        <f>CD25+3</f>
        <v>45075</v>
      </c>
      <c r="CF25" s="42">
        <f t="shared" ref="CF25:CG25" si="50">CE25+1</f>
        <v>45076</v>
      </c>
      <c r="CG25" s="42">
        <f t="shared" si="50"/>
        <v>45077</v>
      </c>
      <c r="CH25" s="43"/>
    </row>
    <row r="26">
      <c r="A26" s="44"/>
      <c r="B26" s="44"/>
      <c r="C26" s="45">
        <v>1.0</v>
      </c>
      <c r="H26" s="45">
        <f>C26+1</f>
        <v>2</v>
      </c>
      <c r="M26" s="45">
        <f>H26+1</f>
        <v>3</v>
      </c>
      <c r="R26" s="45">
        <f>M26+1</f>
        <v>4</v>
      </c>
      <c r="W26" s="45">
        <f>R26+1</f>
        <v>5</v>
      </c>
      <c r="AB26" s="45">
        <f>W26+1</f>
        <v>6</v>
      </c>
      <c r="AG26" s="45">
        <f>AB26+1</f>
        <v>7</v>
      </c>
      <c r="AL26" s="45">
        <f>AG26+1</f>
        <v>8</v>
      </c>
      <c r="AQ26" s="45">
        <f>AL26+1</f>
        <v>9</v>
      </c>
      <c r="AV26" s="45">
        <f>AQ26+1</f>
        <v>10</v>
      </c>
      <c r="BA26" s="45">
        <f>AV26+1</f>
        <v>11</v>
      </c>
      <c r="BF26" s="45">
        <f>BA26+1</f>
        <v>12</v>
      </c>
      <c r="BK26" s="45">
        <f>BF26+1</f>
        <v>13</v>
      </c>
      <c r="BP26" s="45">
        <f>BK26+1</f>
        <v>14</v>
      </c>
      <c r="BU26" s="45">
        <f>BP26+1</f>
        <v>15</v>
      </c>
      <c r="BZ26" s="45">
        <f>BU26+1</f>
        <v>16</v>
      </c>
      <c r="CE26" s="27">
        <f>BZ26+1</f>
        <v>17</v>
      </c>
      <c r="CH26" s="27"/>
    </row>
    <row r="27">
      <c r="A27" s="44"/>
      <c r="B27" s="53" t="s">
        <v>18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</row>
    <row r="28"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</row>
  </sheetData>
  <mergeCells count="28">
    <mergeCell ref="A2:B3"/>
    <mergeCell ref="C2:S2"/>
    <mergeCell ref="T2:AP2"/>
    <mergeCell ref="AQ2:BJ2"/>
    <mergeCell ref="BK2:CG2"/>
    <mergeCell ref="B10:B12"/>
    <mergeCell ref="C14:R14"/>
    <mergeCell ref="BK14:CG14"/>
    <mergeCell ref="W26:AA26"/>
    <mergeCell ref="AB26:AF26"/>
    <mergeCell ref="AG26:AK26"/>
    <mergeCell ref="AL26:AP26"/>
    <mergeCell ref="AQ26:AU26"/>
    <mergeCell ref="AV26:AZ26"/>
    <mergeCell ref="BA26:BE26"/>
    <mergeCell ref="BF26:BJ26"/>
    <mergeCell ref="BK26:BO26"/>
    <mergeCell ref="BP26:BT26"/>
    <mergeCell ref="BU26:BY26"/>
    <mergeCell ref="BZ26:CD26"/>
    <mergeCell ref="CE26:CG26"/>
    <mergeCell ref="S14:AK14"/>
    <mergeCell ref="AL14:BJ14"/>
    <mergeCell ref="B22:B24"/>
    <mergeCell ref="C26:G26"/>
    <mergeCell ref="H26:L26"/>
    <mergeCell ref="M26:Q26"/>
    <mergeCell ref="R26:V26"/>
  </mergeCells>
  <conditionalFormatting sqref="C4:CG12 C16:CG24">
    <cfRule type="cellIs" dxfId="0" priority="1" operator="equal">
      <formula>"T"</formula>
    </cfRule>
  </conditionalFormatting>
  <conditionalFormatting sqref="C4:CG12 C16:CG24">
    <cfRule type="cellIs" dxfId="1" priority="2" operator="equal">
      <formula>"E"</formula>
    </cfRule>
  </conditionalFormatting>
  <conditionalFormatting sqref="C4:CG12 C16:CG24">
    <cfRule type="cellIs" dxfId="0" priority="3" operator="equal">
      <formula>"C"</formula>
    </cfRule>
  </conditionalFormatting>
  <hyperlinks>
    <hyperlink r:id="rId1" ref="B2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75"/>
    <col customWidth="1" min="2" max="2" width="24.0"/>
    <col customWidth="1" min="3" max="85" width="2.25"/>
    <col customWidth="1" min="86" max="86" width="4.25"/>
  </cols>
  <sheetData>
    <row r="1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>
      <c r="A2" s="46"/>
      <c r="B2" s="33"/>
      <c r="C2" s="34" t="s">
        <v>12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4" t="s">
        <v>13</v>
      </c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34" t="s">
        <v>14</v>
      </c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30"/>
      <c r="BK2" s="34" t="s">
        <v>17</v>
      </c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30"/>
      <c r="CH2" s="1"/>
    </row>
    <row r="3">
      <c r="A3" s="47"/>
      <c r="B3" s="48"/>
      <c r="C3" s="37">
        <v>6.0</v>
      </c>
      <c r="D3" s="35">
        <f t="shared" ref="D3:G3" si="1">C3+1</f>
        <v>7</v>
      </c>
      <c r="E3" s="35">
        <f t="shared" si="1"/>
        <v>8</v>
      </c>
      <c r="F3" s="35">
        <f t="shared" si="1"/>
        <v>9</v>
      </c>
      <c r="G3" s="36">
        <f t="shared" si="1"/>
        <v>10</v>
      </c>
      <c r="H3" s="37">
        <f>G3+3</f>
        <v>13</v>
      </c>
      <c r="I3" s="35">
        <f t="shared" ref="I3:L3" si="2">H3+1</f>
        <v>14</v>
      </c>
      <c r="J3" s="35">
        <f t="shared" si="2"/>
        <v>15</v>
      </c>
      <c r="K3" s="35">
        <f t="shared" si="2"/>
        <v>16</v>
      </c>
      <c r="L3" s="36">
        <f t="shared" si="2"/>
        <v>17</v>
      </c>
      <c r="M3" s="37">
        <f>L3+3</f>
        <v>20</v>
      </c>
      <c r="N3" s="35">
        <f t="shared" ref="N3:Q3" si="3">M3+1</f>
        <v>21</v>
      </c>
      <c r="O3" s="35">
        <f t="shared" si="3"/>
        <v>22</v>
      </c>
      <c r="P3" s="35">
        <f t="shared" si="3"/>
        <v>23</v>
      </c>
      <c r="Q3" s="35">
        <f t="shared" si="3"/>
        <v>24</v>
      </c>
      <c r="R3" s="37">
        <f>Q3+3</f>
        <v>27</v>
      </c>
      <c r="S3" s="35">
        <v>28.0</v>
      </c>
      <c r="T3" s="35">
        <v>1.0</v>
      </c>
      <c r="U3" s="35">
        <f t="shared" ref="U3:V3" si="4">T3+1</f>
        <v>2</v>
      </c>
      <c r="V3" s="36">
        <f t="shared" si="4"/>
        <v>3</v>
      </c>
      <c r="W3" s="35">
        <f>V3+3</f>
        <v>6</v>
      </c>
      <c r="X3" s="35">
        <f t="shared" ref="X3:AA3" si="5">W3+1</f>
        <v>7</v>
      </c>
      <c r="Y3" s="35">
        <f t="shared" si="5"/>
        <v>8</v>
      </c>
      <c r="Z3" s="35">
        <f t="shared" si="5"/>
        <v>9</v>
      </c>
      <c r="AA3" s="36">
        <f t="shared" si="5"/>
        <v>10</v>
      </c>
      <c r="AB3" s="37">
        <f>AA3+3</f>
        <v>13</v>
      </c>
      <c r="AC3" s="35">
        <f t="shared" ref="AC3:AF3" si="6">AB3+1</f>
        <v>14</v>
      </c>
      <c r="AD3" s="35">
        <f t="shared" si="6"/>
        <v>15</v>
      </c>
      <c r="AE3" s="35">
        <f t="shared" si="6"/>
        <v>16</v>
      </c>
      <c r="AF3" s="36">
        <f t="shared" si="6"/>
        <v>17</v>
      </c>
      <c r="AG3" s="37">
        <f>AF3+3</f>
        <v>20</v>
      </c>
      <c r="AH3" s="35">
        <f t="shared" ref="AH3:AK3" si="7">AG3+1</f>
        <v>21</v>
      </c>
      <c r="AI3" s="35">
        <f t="shared" si="7"/>
        <v>22</v>
      </c>
      <c r="AJ3" s="35">
        <f t="shared" si="7"/>
        <v>23</v>
      </c>
      <c r="AK3" s="36">
        <f t="shared" si="7"/>
        <v>24</v>
      </c>
      <c r="AL3" s="37">
        <f>AK3+3</f>
        <v>27</v>
      </c>
      <c r="AM3" s="35">
        <f t="shared" ref="AM3:AP3" si="8">AL3+1</f>
        <v>28</v>
      </c>
      <c r="AN3" s="35">
        <f t="shared" si="8"/>
        <v>29</v>
      </c>
      <c r="AO3" s="35">
        <f t="shared" si="8"/>
        <v>30</v>
      </c>
      <c r="AP3" s="36">
        <f t="shared" si="8"/>
        <v>31</v>
      </c>
      <c r="AQ3" s="37">
        <v>3.0</v>
      </c>
      <c r="AR3" s="35">
        <f t="shared" ref="AR3:AU3" si="9">AQ3+1</f>
        <v>4</v>
      </c>
      <c r="AS3" s="35">
        <f t="shared" si="9"/>
        <v>5</v>
      </c>
      <c r="AT3" s="35">
        <f t="shared" si="9"/>
        <v>6</v>
      </c>
      <c r="AU3" s="36">
        <f t="shared" si="9"/>
        <v>7</v>
      </c>
      <c r="AV3" s="37">
        <f>AU3+3</f>
        <v>10</v>
      </c>
      <c r="AW3" s="35">
        <f t="shared" ref="AW3:AZ3" si="10">AV3+1</f>
        <v>11</v>
      </c>
      <c r="AX3" s="35">
        <f t="shared" si="10"/>
        <v>12</v>
      </c>
      <c r="AY3" s="35">
        <f t="shared" si="10"/>
        <v>13</v>
      </c>
      <c r="AZ3" s="36">
        <f t="shared" si="10"/>
        <v>14</v>
      </c>
      <c r="BA3" s="37">
        <f>AZ3+3</f>
        <v>17</v>
      </c>
      <c r="BB3" s="35">
        <f t="shared" ref="BB3:BE3" si="11">BA3+1</f>
        <v>18</v>
      </c>
      <c r="BC3" s="35">
        <f t="shared" si="11"/>
        <v>19</v>
      </c>
      <c r="BD3" s="35">
        <f t="shared" si="11"/>
        <v>20</v>
      </c>
      <c r="BE3" s="36">
        <f t="shared" si="11"/>
        <v>21</v>
      </c>
      <c r="BF3" s="37">
        <f>BE3+3</f>
        <v>24</v>
      </c>
      <c r="BG3" s="35">
        <f t="shared" ref="BG3:BJ3" si="12">BF3+1</f>
        <v>25</v>
      </c>
      <c r="BH3" s="35">
        <f t="shared" si="12"/>
        <v>26</v>
      </c>
      <c r="BI3" s="35">
        <f t="shared" si="12"/>
        <v>27</v>
      </c>
      <c r="BJ3" s="36">
        <f t="shared" si="12"/>
        <v>28</v>
      </c>
      <c r="BK3" s="37">
        <v>1.0</v>
      </c>
      <c r="BL3" s="35">
        <f t="shared" ref="BL3:BO3" si="13">BK3+1</f>
        <v>2</v>
      </c>
      <c r="BM3" s="35">
        <f t="shared" si="13"/>
        <v>3</v>
      </c>
      <c r="BN3" s="35">
        <f t="shared" si="13"/>
        <v>4</v>
      </c>
      <c r="BO3" s="36">
        <f t="shared" si="13"/>
        <v>5</v>
      </c>
      <c r="BP3" s="37">
        <f>BO3+3</f>
        <v>8</v>
      </c>
      <c r="BQ3" s="35">
        <f t="shared" ref="BQ3:BT3" si="14">BP3+1</f>
        <v>9</v>
      </c>
      <c r="BR3" s="35">
        <f t="shared" si="14"/>
        <v>10</v>
      </c>
      <c r="BS3" s="35">
        <f t="shared" si="14"/>
        <v>11</v>
      </c>
      <c r="BT3" s="36">
        <f t="shared" si="14"/>
        <v>12</v>
      </c>
      <c r="BU3" s="37">
        <f>BT3+3</f>
        <v>15</v>
      </c>
      <c r="BV3" s="35">
        <f t="shared" ref="BV3:BY3" si="15">BU3+1</f>
        <v>16</v>
      </c>
      <c r="BW3" s="35">
        <f t="shared" si="15"/>
        <v>17</v>
      </c>
      <c r="BX3" s="35">
        <f t="shared" si="15"/>
        <v>18</v>
      </c>
      <c r="BY3" s="36">
        <f t="shared" si="15"/>
        <v>19</v>
      </c>
      <c r="BZ3" s="37">
        <f>BY3+3</f>
        <v>22</v>
      </c>
      <c r="CA3" s="35">
        <f t="shared" ref="CA3:CD3" si="16">BZ3+1</f>
        <v>23</v>
      </c>
      <c r="CB3" s="35">
        <f t="shared" si="16"/>
        <v>24</v>
      </c>
      <c r="CC3" s="35">
        <f t="shared" si="16"/>
        <v>25</v>
      </c>
      <c r="CD3" s="36">
        <f t="shared" si="16"/>
        <v>26</v>
      </c>
      <c r="CE3" s="35">
        <f>CD3+3</f>
        <v>29</v>
      </c>
      <c r="CF3" s="35">
        <f t="shared" ref="CF3:CG3" si="17">CE3+1</f>
        <v>30</v>
      </c>
      <c r="CG3" s="36">
        <f t="shared" si="17"/>
        <v>31</v>
      </c>
      <c r="CH3" s="45"/>
    </row>
    <row r="4" hidden="1">
      <c r="A4" s="54"/>
      <c r="B4" s="8" t="s">
        <v>0</v>
      </c>
      <c r="C4" s="11"/>
      <c r="D4" s="9"/>
      <c r="E4" s="9"/>
      <c r="F4" s="9"/>
      <c r="G4" s="10"/>
      <c r="H4" s="11"/>
      <c r="I4" s="9"/>
      <c r="J4" s="9"/>
      <c r="K4" s="9"/>
      <c r="L4" s="10"/>
      <c r="M4" s="12"/>
      <c r="N4" s="13"/>
      <c r="O4" s="13"/>
      <c r="P4" s="13"/>
      <c r="Q4" s="13"/>
      <c r="R4" s="12"/>
      <c r="S4" s="13"/>
      <c r="T4" s="13"/>
      <c r="U4" s="13"/>
      <c r="V4" s="14"/>
      <c r="W4" s="13"/>
      <c r="X4" s="13"/>
      <c r="Y4" s="13"/>
      <c r="Z4" s="13"/>
      <c r="AA4" s="14"/>
      <c r="AB4" s="13"/>
      <c r="AC4" s="13"/>
      <c r="AD4" s="13"/>
      <c r="AE4" s="13"/>
      <c r="AF4" s="13"/>
      <c r="AG4" s="12"/>
      <c r="AH4" s="13"/>
      <c r="AI4" s="13"/>
      <c r="AJ4" s="13"/>
      <c r="AK4" s="14"/>
      <c r="AL4" s="13"/>
      <c r="AM4" s="13"/>
      <c r="AN4" s="13"/>
      <c r="AO4" s="13"/>
      <c r="AP4" s="13"/>
      <c r="AQ4" s="12"/>
      <c r="AR4" s="13"/>
      <c r="AS4" s="13"/>
      <c r="AT4" s="13"/>
      <c r="AU4" s="14"/>
      <c r="AV4" s="13"/>
      <c r="AW4" s="13"/>
      <c r="AX4" s="13"/>
      <c r="AY4" s="13"/>
      <c r="AZ4" s="13"/>
      <c r="BA4" s="12"/>
      <c r="BB4" s="13"/>
      <c r="BC4" s="13"/>
      <c r="BD4" s="13"/>
      <c r="BE4" s="14"/>
      <c r="BF4" s="12"/>
      <c r="BG4" s="13"/>
      <c r="BH4" s="13"/>
      <c r="BI4" s="13"/>
      <c r="BJ4" s="14"/>
      <c r="BK4" s="12"/>
      <c r="BL4" s="13"/>
      <c r="BM4" s="13"/>
      <c r="BN4" s="13"/>
      <c r="BO4" s="14"/>
      <c r="BP4" s="13"/>
      <c r="BQ4" s="13"/>
      <c r="BR4" s="13"/>
      <c r="BS4" s="13"/>
      <c r="BT4" s="13"/>
      <c r="BU4" s="12"/>
      <c r="BV4" s="13"/>
      <c r="BW4" s="13"/>
      <c r="BX4" s="13"/>
      <c r="BY4" s="14"/>
      <c r="BZ4" s="13"/>
      <c r="CA4" s="13"/>
      <c r="CB4" s="13"/>
      <c r="CC4" s="13"/>
      <c r="CD4" s="14"/>
      <c r="CE4" s="13"/>
      <c r="CF4" s="13"/>
      <c r="CG4" s="14"/>
      <c r="CH4" s="13"/>
    </row>
    <row r="5" hidden="1">
      <c r="A5" s="54"/>
      <c r="B5" s="8" t="s">
        <v>4</v>
      </c>
      <c r="C5" s="17" t="s">
        <v>5</v>
      </c>
      <c r="D5" s="15" t="s">
        <v>5</v>
      </c>
      <c r="E5" s="15" t="s">
        <v>5</v>
      </c>
      <c r="F5" s="15" t="s">
        <v>5</v>
      </c>
      <c r="G5" s="16" t="s">
        <v>5</v>
      </c>
      <c r="H5" s="17" t="s">
        <v>5</v>
      </c>
      <c r="I5" s="15" t="s">
        <v>5</v>
      </c>
      <c r="J5" s="15" t="s">
        <v>5</v>
      </c>
      <c r="K5" s="15" t="s">
        <v>5</v>
      </c>
      <c r="L5" s="10" t="s">
        <v>6</v>
      </c>
      <c r="M5" s="18"/>
      <c r="N5" s="19"/>
      <c r="O5" s="19"/>
      <c r="P5" s="19"/>
      <c r="Q5" s="19"/>
      <c r="R5" s="18"/>
      <c r="S5" s="19"/>
      <c r="T5" s="19"/>
      <c r="U5" s="19"/>
      <c r="V5" s="20"/>
      <c r="W5" s="13"/>
      <c r="X5" s="13"/>
      <c r="Y5" s="13"/>
      <c r="Z5" s="13"/>
      <c r="AA5" s="14"/>
      <c r="AB5" s="13"/>
      <c r="AC5" s="13"/>
      <c r="AD5" s="13"/>
      <c r="AE5" s="13"/>
      <c r="AF5" s="13"/>
      <c r="AG5" s="12"/>
      <c r="AH5" s="13"/>
      <c r="AI5" s="13"/>
      <c r="AJ5" s="13"/>
      <c r="AK5" s="14"/>
      <c r="AL5" s="13"/>
      <c r="AM5" s="13"/>
      <c r="AN5" s="13"/>
      <c r="AO5" s="13"/>
      <c r="AP5" s="13"/>
      <c r="AQ5" s="12"/>
      <c r="AR5" s="13"/>
      <c r="AS5" s="13"/>
      <c r="AT5" s="13"/>
      <c r="AU5" s="14"/>
      <c r="AV5" s="13"/>
      <c r="AW5" s="13"/>
      <c r="AX5" s="13"/>
      <c r="AY5" s="13"/>
      <c r="AZ5" s="13"/>
      <c r="BA5" s="12"/>
      <c r="BB5" s="13"/>
      <c r="BC5" s="13"/>
      <c r="BD5" s="13"/>
      <c r="BE5" s="14"/>
      <c r="BF5" s="12"/>
      <c r="BG5" s="13"/>
      <c r="BH5" s="13"/>
      <c r="BI5" s="13"/>
      <c r="BJ5" s="14"/>
      <c r="BK5" s="12"/>
      <c r="BL5" s="13"/>
      <c r="BM5" s="13"/>
      <c r="BN5" s="13"/>
      <c r="BO5" s="14"/>
      <c r="BP5" s="13"/>
      <c r="BQ5" s="13"/>
      <c r="BR5" s="13"/>
      <c r="BS5" s="13"/>
      <c r="BT5" s="13"/>
      <c r="BU5" s="12"/>
      <c r="BV5" s="13"/>
      <c r="BW5" s="13"/>
      <c r="BX5" s="13"/>
      <c r="BY5" s="14"/>
      <c r="BZ5" s="13"/>
      <c r="CA5" s="13"/>
      <c r="CB5" s="13"/>
      <c r="CC5" s="13"/>
      <c r="CD5" s="14"/>
      <c r="CE5" s="13"/>
      <c r="CF5" s="13"/>
      <c r="CG5" s="14"/>
      <c r="CH5" s="13"/>
    </row>
    <row r="6" hidden="1">
      <c r="A6" s="54"/>
      <c r="B6" s="8" t="s">
        <v>7</v>
      </c>
      <c r="C6" s="12"/>
      <c r="D6" s="13"/>
      <c r="E6" s="13"/>
      <c r="F6" s="13"/>
      <c r="G6" s="14"/>
      <c r="H6" s="12"/>
      <c r="I6" s="13"/>
      <c r="J6" s="13"/>
      <c r="K6" s="13"/>
      <c r="L6" s="16"/>
      <c r="M6" s="17" t="s">
        <v>5</v>
      </c>
      <c r="N6" s="15" t="s">
        <v>5</v>
      </c>
      <c r="O6" s="15" t="s">
        <v>5</v>
      </c>
      <c r="P6" s="15" t="s">
        <v>5</v>
      </c>
      <c r="Q6" s="15" t="s">
        <v>5</v>
      </c>
      <c r="R6" s="17" t="s">
        <v>5</v>
      </c>
      <c r="S6" s="15" t="s">
        <v>5</v>
      </c>
      <c r="T6" s="15" t="s">
        <v>5</v>
      </c>
      <c r="U6" s="15" t="s">
        <v>5</v>
      </c>
      <c r="V6" s="10" t="s">
        <v>6</v>
      </c>
      <c r="W6" s="19"/>
      <c r="X6" s="19"/>
      <c r="Y6" s="19"/>
      <c r="Z6" s="19"/>
      <c r="AA6" s="20"/>
      <c r="AB6" s="19"/>
      <c r="AC6" s="19"/>
      <c r="AD6" s="19"/>
      <c r="AE6" s="19"/>
      <c r="AF6" s="19"/>
      <c r="AG6" s="12"/>
      <c r="AH6" s="13"/>
      <c r="AI6" s="13"/>
      <c r="AJ6" s="13"/>
      <c r="AK6" s="14"/>
      <c r="AL6" s="13"/>
      <c r="AM6" s="13"/>
      <c r="AN6" s="13"/>
      <c r="AO6" s="13"/>
      <c r="AP6" s="13"/>
      <c r="AQ6" s="12"/>
      <c r="AR6" s="13"/>
      <c r="AS6" s="13"/>
      <c r="AT6" s="13"/>
      <c r="AU6" s="14"/>
      <c r="AV6" s="13"/>
      <c r="AW6" s="13"/>
      <c r="AX6" s="13"/>
      <c r="AY6" s="13"/>
      <c r="AZ6" s="13"/>
      <c r="BA6" s="12"/>
      <c r="BB6" s="13"/>
      <c r="BC6" s="13"/>
      <c r="BD6" s="13"/>
      <c r="BE6" s="14"/>
      <c r="BF6" s="12"/>
      <c r="BG6" s="13"/>
      <c r="BH6" s="13"/>
      <c r="BI6" s="13"/>
      <c r="BJ6" s="14"/>
      <c r="BK6" s="12"/>
      <c r="BL6" s="13"/>
      <c r="BM6" s="13"/>
      <c r="BN6" s="13"/>
      <c r="BO6" s="14"/>
      <c r="BP6" s="13"/>
      <c r="BQ6" s="13"/>
      <c r="BR6" s="13"/>
      <c r="BS6" s="13"/>
      <c r="BT6" s="13"/>
      <c r="BU6" s="12"/>
      <c r="BV6" s="13"/>
      <c r="BW6" s="13"/>
      <c r="BX6" s="13"/>
      <c r="BY6" s="14"/>
      <c r="BZ6" s="13"/>
      <c r="CA6" s="13"/>
      <c r="CB6" s="13"/>
      <c r="CC6" s="13"/>
      <c r="CD6" s="14"/>
      <c r="CE6" s="13"/>
      <c r="CF6" s="13"/>
      <c r="CG6" s="14"/>
      <c r="CH6" s="13"/>
    </row>
    <row r="7" hidden="1">
      <c r="A7" s="54"/>
      <c r="B7" s="8" t="s">
        <v>8</v>
      </c>
      <c r="C7" s="12"/>
      <c r="D7" s="13"/>
      <c r="E7" s="13"/>
      <c r="F7" s="13"/>
      <c r="G7" s="14"/>
      <c r="H7" s="12"/>
      <c r="I7" s="13"/>
      <c r="J7" s="13"/>
      <c r="K7" s="13"/>
      <c r="L7" s="14"/>
      <c r="M7" s="12"/>
      <c r="N7" s="13"/>
      <c r="O7" s="13"/>
      <c r="P7" s="13"/>
      <c r="Q7" s="13"/>
      <c r="R7" s="12"/>
      <c r="S7" s="13"/>
      <c r="T7" s="13"/>
      <c r="U7" s="13"/>
      <c r="V7" s="16"/>
      <c r="W7" s="15" t="s">
        <v>5</v>
      </c>
      <c r="X7" s="15" t="s">
        <v>5</v>
      </c>
      <c r="Y7" s="15" t="s">
        <v>5</v>
      </c>
      <c r="Z7" s="15" t="s">
        <v>5</v>
      </c>
      <c r="AA7" s="16" t="s">
        <v>5</v>
      </c>
      <c r="AB7" s="15" t="s">
        <v>5</v>
      </c>
      <c r="AC7" s="15" t="s">
        <v>5</v>
      </c>
      <c r="AD7" s="15" t="s">
        <v>5</v>
      </c>
      <c r="AE7" s="15" t="s">
        <v>5</v>
      </c>
      <c r="AF7" s="9" t="s">
        <v>6</v>
      </c>
      <c r="AG7" s="18"/>
      <c r="AH7" s="19"/>
      <c r="AI7" s="19"/>
      <c r="AJ7" s="19"/>
      <c r="AK7" s="20"/>
      <c r="AL7" s="19"/>
      <c r="AM7" s="19"/>
      <c r="AN7" s="19"/>
      <c r="AO7" s="19"/>
      <c r="AP7" s="19"/>
      <c r="AQ7" s="18"/>
      <c r="AR7" s="19"/>
      <c r="AS7" s="19"/>
      <c r="AT7" s="19"/>
      <c r="AU7" s="20"/>
      <c r="AV7" s="19"/>
      <c r="AW7" s="19"/>
      <c r="AX7" s="19"/>
      <c r="AY7" s="19"/>
      <c r="AZ7" s="19"/>
      <c r="BA7" s="12"/>
      <c r="BB7" s="13"/>
      <c r="BC7" s="13"/>
      <c r="BD7" s="13"/>
      <c r="BE7" s="14"/>
      <c r="BF7" s="12"/>
      <c r="BG7" s="13"/>
      <c r="BH7" s="13"/>
      <c r="BI7" s="13"/>
      <c r="BJ7" s="14"/>
      <c r="BK7" s="12"/>
      <c r="BL7" s="13"/>
      <c r="BM7" s="13"/>
      <c r="BN7" s="13"/>
      <c r="BO7" s="14"/>
      <c r="BP7" s="13"/>
      <c r="BQ7" s="13"/>
      <c r="BR7" s="13"/>
      <c r="BS7" s="13"/>
      <c r="BT7" s="13"/>
      <c r="BU7" s="12"/>
      <c r="BV7" s="13"/>
      <c r="BW7" s="13"/>
      <c r="BX7" s="13"/>
      <c r="BY7" s="14"/>
      <c r="BZ7" s="13"/>
      <c r="CA7" s="13"/>
      <c r="CB7" s="13"/>
      <c r="CC7" s="13"/>
      <c r="CD7" s="14"/>
      <c r="CE7" s="13"/>
      <c r="CF7" s="13"/>
      <c r="CG7" s="14"/>
      <c r="CH7" s="13"/>
    </row>
    <row r="8" hidden="1">
      <c r="A8" s="54"/>
      <c r="B8" s="8" t="s">
        <v>9</v>
      </c>
      <c r="C8" s="12"/>
      <c r="D8" s="13"/>
      <c r="E8" s="13"/>
      <c r="F8" s="13"/>
      <c r="G8" s="14"/>
      <c r="H8" s="12"/>
      <c r="I8" s="13"/>
      <c r="J8" s="13"/>
      <c r="K8" s="13"/>
      <c r="L8" s="14"/>
      <c r="M8" s="12"/>
      <c r="N8" s="13"/>
      <c r="O8" s="13"/>
      <c r="P8" s="13"/>
      <c r="Q8" s="13"/>
      <c r="R8" s="12"/>
      <c r="S8" s="13"/>
      <c r="T8" s="13"/>
      <c r="U8" s="13"/>
      <c r="V8" s="14"/>
      <c r="W8" s="13"/>
      <c r="X8" s="13"/>
      <c r="Y8" s="13"/>
      <c r="Z8" s="13"/>
      <c r="AA8" s="14"/>
      <c r="AB8" s="13"/>
      <c r="AC8" s="13"/>
      <c r="AD8" s="13"/>
      <c r="AE8" s="13"/>
      <c r="AF8" s="15"/>
      <c r="AG8" s="17" t="s">
        <v>5</v>
      </c>
      <c r="AH8" s="15" t="s">
        <v>5</v>
      </c>
      <c r="AI8" s="15" t="s">
        <v>5</v>
      </c>
      <c r="AJ8" s="15" t="s">
        <v>5</v>
      </c>
      <c r="AK8" s="16" t="s">
        <v>5</v>
      </c>
      <c r="AL8" s="15" t="s">
        <v>5</v>
      </c>
      <c r="AM8" s="15" t="s">
        <v>5</v>
      </c>
      <c r="AN8" s="15" t="s">
        <v>5</v>
      </c>
      <c r="AO8" s="15" t="s">
        <v>5</v>
      </c>
      <c r="AP8" s="15" t="s">
        <v>5</v>
      </c>
      <c r="AQ8" s="17" t="s">
        <v>5</v>
      </c>
      <c r="AR8" s="15" t="s">
        <v>5</v>
      </c>
      <c r="AS8" s="15" t="s">
        <v>5</v>
      </c>
      <c r="AT8" s="15" t="s">
        <v>5</v>
      </c>
      <c r="AU8" s="16" t="s">
        <v>5</v>
      </c>
      <c r="AV8" s="17" t="s">
        <v>5</v>
      </c>
      <c r="AW8" s="15" t="s">
        <v>5</v>
      </c>
      <c r="AX8" s="15" t="s">
        <v>5</v>
      </c>
      <c r="AY8" s="15" t="s">
        <v>5</v>
      </c>
      <c r="AZ8" s="9" t="s">
        <v>6</v>
      </c>
      <c r="BA8" s="18"/>
      <c r="BB8" s="19"/>
      <c r="BC8" s="19"/>
      <c r="BD8" s="19"/>
      <c r="BE8" s="20"/>
      <c r="BF8" s="18"/>
      <c r="BG8" s="19"/>
      <c r="BH8" s="19"/>
      <c r="BI8" s="19"/>
      <c r="BJ8" s="20"/>
      <c r="BK8" s="12"/>
      <c r="BL8" s="13"/>
      <c r="BM8" s="13"/>
      <c r="BN8" s="13"/>
      <c r="BO8" s="14"/>
      <c r="BP8" s="13"/>
      <c r="BQ8" s="13"/>
      <c r="BR8" s="13"/>
      <c r="BS8" s="13"/>
      <c r="BT8" s="13"/>
      <c r="BU8" s="12"/>
      <c r="BV8" s="13"/>
      <c r="BW8" s="13"/>
      <c r="BX8" s="13"/>
      <c r="BY8" s="14"/>
      <c r="BZ8" s="13"/>
      <c r="CA8" s="13"/>
      <c r="CB8" s="13"/>
      <c r="CC8" s="13"/>
      <c r="CD8" s="14"/>
      <c r="CE8" s="13"/>
      <c r="CF8" s="13"/>
      <c r="CG8" s="14"/>
      <c r="CH8" s="13"/>
    </row>
    <row r="9" hidden="1">
      <c r="A9" s="54"/>
      <c r="B9" s="8" t="s">
        <v>10</v>
      </c>
      <c r="C9" s="12"/>
      <c r="D9" s="13"/>
      <c r="E9" s="13"/>
      <c r="F9" s="13"/>
      <c r="G9" s="14"/>
      <c r="H9" s="12"/>
      <c r="I9" s="13"/>
      <c r="J9" s="13"/>
      <c r="K9" s="13"/>
      <c r="L9" s="14"/>
      <c r="M9" s="12"/>
      <c r="N9" s="13"/>
      <c r="O9" s="13"/>
      <c r="P9" s="13"/>
      <c r="Q9" s="13"/>
      <c r="R9" s="12"/>
      <c r="S9" s="13"/>
      <c r="T9" s="13"/>
      <c r="U9" s="13"/>
      <c r="V9" s="14"/>
      <c r="W9" s="13"/>
      <c r="X9" s="13"/>
      <c r="Y9" s="13"/>
      <c r="Z9" s="13"/>
      <c r="AA9" s="14"/>
      <c r="AB9" s="13"/>
      <c r="AC9" s="13"/>
      <c r="AD9" s="13"/>
      <c r="AE9" s="13"/>
      <c r="AF9" s="13"/>
      <c r="AG9" s="12"/>
      <c r="AH9" s="13"/>
      <c r="AI9" s="13"/>
      <c r="AJ9" s="13"/>
      <c r="AK9" s="14"/>
      <c r="AL9" s="13"/>
      <c r="AM9" s="13"/>
      <c r="AN9" s="13"/>
      <c r="AO9" s="13"/>
      <c r="AP9" s="13"/>
      <c r="AQ9" s="12"/>
      <c r="AR9" s="13"/>
      <c r="AS9" s="13"/>
      <c r="AT9" s="13"/>
      <c r="AU9" s="14"/>
      <c r="AV9" s="13"/>
      <c r="AW9" s="13"/>
      <c r="AX9" s="13"/>
      <c r="AY9" s="13"/>
      <c r="AZ9" s="15"/>
      <c r="BA9" s="17" t="s">
        <v>5</v>
      </c>
      <c r="BB9" s="15" t="s">
        <v>5</v>
      </c>
      <c r="BC9" s="15" t="s">
        <v>5</v>
      </c>
      <c r="BD9" s="15" t="s">
        <v>5</v>
      </c>
      <c r="BE9" s="16" t="s">
        <v>5</v>
      </c>
      <c r="BF9" s="17" t="s">
        <v>5</v>
      </c>
      <c r="BG9" s="15" t="s">
        <v>5</v>
      </c>
      <c r="BH9" s="15" t="s">
        <v>5</v>
      </c>
      <c r="BI9" s="15" t="s">
        <v>5</v>
      </c>
      <c r="BJ9" s="10" t="s">
        <v>6</v>
      </c>
      <c r="BK9" s="18"/>
      <c r="BL9" s="19"/>
      <c r="BM9" s="19"/>
      <c r="BN9" s="19"/>
      <c r="BO9" s="20"/>
      <c r="BP9" s="19"/>
      <c r="BQ9" s="19"/>
      <c r="BR9" s="19"/>
      <c r="BS9" s="19"/>
      <c r="BT9" s="19"/>
      <c r="BU9" s="12"/>
      <c r="BV9" s="13"/>
      <c r="BW9" s="13"/>
      <c r="BX9" s="13"/>
      <c r="BY9" s="14"/>
      <c r="BZ9" s="13"/>
      <c r="CA9" s="13"/>
      <c r="CB9" s="13"/>
      <c r="CC9" s="13"/>
      <c r="CD9" s="14"/>
      <c r="CE9" s="13"/>
      <c r="CF9" s="13"/>
      <c r="CG9" s="14"/>
      <c r="CH9" s="13"/>
    </row>
    <row r="10" hidden="1">
      <c r="A10" s="54"/>
      <c r="B10" s="21" t="s">
        <v>11</v>
      </c>
      <c r="C10" s="12"/>
      <c r="D10" s="13"/>
      <c r="E10" s="13"/>
      <c r="F10" s="13"/>
      <c r="G10" s="14"/>
      <c r="H10" s="12"/>
      <c r="I10" s="13"/>
      <c r="J10" s="13"/>
      <c r="K10" s="13"/>
      <c r="L10" s="14"/>
      <c r="M10" s="12"/>
      <c r="N10" s="13"/>
      <c r="O10" s="13"/>
      <c r="P10" s="13"/>
      <c r="Q10" s="13"/>
      <c r="R10" s="12"/>
      <c r="S10" s="13"/>
      <c r="T10" s="13"/>
      <c r="U10" s="13"/>
      <c r="V10" s="14"/>
      <c r="W10" s="13"/>
      <c r="X10" s="13"/>
      <c r="Y10" s="13"/>
      <c r="Z10" s="13"/>
      <c r="AA10" s="14"/>
      <c r="AB10" s="13"/>
      <c r="AC10" s="13"/>
      <c r="AD10" s="13"/>
      <c r="AE10" s="13"/>
      <c r="AF10" s="13"/>
      <c r="AG10" s="12"/>
      <c r="AH10" s="13"/>
      <c r="AI10" s="13"/>
      <c r="AJ10" s="13"/>
      <c r="AK10" s="14"/>
      <c r="AL10" s="13"/>
      <c r="AM10" s="13"/>
      <c r="AN10" s="13"/>
      <c r="AO10" s="13"/>
      <c r="AP10" s="13"/>
      <c r="AQ10" s="12"/>
      <c r="AR10" s="13"/>
      <c r="AS10" s="13"/>
      <c r="AT10" s="13"/>
      <c r="AU10" s="14"/>
      <c r="AV10" s="13"/>
      <c r="AW10" s="13"/>
      <c r="AX10" s="13"/>
      <c r="AY10" s="13"/>
      <c r="AZ10" s="13"/>
      <c r="BA10" s="12"/>
      <c r="BB10" s="13"/>
      <c r="BC10" s="13"/>
      <c r="BD10" s="13"/>
      <c r="BE10" s="14"/>
      <c r="BF10" s="12"/>
      <c r="BG10" s="13"/>
      <c r="BH10" s="13"/>
      <c r="BI10" s="13"/>
      <c r="BJ10" s="16"/>
      <c r="BK10" s="17" t="s">
        <v>5</v>
      </c>
      <c r="BL10" s="15" t="s">
        <v>5</v>
      </c>
      <c r="BM10" s="15" t="s">
        <v>5</v>
      </c>
      <c r="BN10" s="15" t="s">
        <v>5</v>
      </c>
      <c r="BO10" s="16" t="s">
        <v>5</v>
      </c>
      <c r="BP10" s="15" t="s">
        <v>5</v>
      </c>
      <c r="BQ10" s="15" t="s">
        <v>5</v>
      </c>
      <c r="BR10" s="15" t="s">
        <v>5</v>
      </c>
      <c r="BS10" s="15" t="s">
        <v>5</v>
      </c>
      <c r="BT10" s="9" t="s">
        <v>6</v>
      </c>
      <c r="BU10" s="18"/>
      <c r="BV10" s="19"/>
      <c r="BW10" s="19"/>
      <c r="BX10" s="19"/>
      <c r="BY10" s="20"/>
      <c r="BZ10" s="19"/>
      <c r="CA10" s="19"/>
      <c r="CB10" s="19"/>
      <c r="CC10" s="19"/>
      <c r="CD10" s="20"/>
      <c r="CE10" s="19"/>
      <c r="CF10" s="19"/>
      <c r="CG10" s="20"/>
      <c r="CH10" s="13"/>
    </row>
    <row r="11" hidden="1">
      <c r="C11" s="12"/>
      <c r="D11" s="13"/>
      <c r="E11" s="13"/>
      <c r="F11" s="13"/>
      <c r="G11" s="14"/>
      <c r="H11" s="12"/>
      <c r="I11" s="13"/>
      <c r="J11" s="13"/>
      <c r="K11" s="13"/>
      <c r="L11" s="14"/>
      <c r="M11" s="12"/>
      <c r="N11" s="13"/>
      <c r="O11" s="13"/>
      <c r="P11" s="13"/>
      <c r="Q11" s="13"/>
      <c r="R11" s="12"/>
      <c r="S11" s="13"/>
      <c r="T11" s="13"/>
      <c r="U11" s="13"/>
      <c r="V11" s="14"/>
      <c r="W11" s="13"/>
      <c r="X11" s="13"/>
      <c r="Y11" s="13"/>
      <c r="Z11" s="13"/>
      <c r="AA11" s="14"/>
      <c r="AB11" s="13"/>
      <c r="AC11" s="13"/>
      <c r="AD11" s="13"/>
      <c r="AE11" s="13"/>
      <c r="AF11" s="13"/>
      <c r="AG11" s="12"/>
      <c r="AH11" s="13"/>
      <c r="AI11" s="13"/>
      <c r="AJ11" s="13"/>
      <c r="AK11" s="14"/>
      <c r="AL11" s="13"/>
      <c r="AM11" s="13"/>
      <c r="AN11" s="13"/>
      <c r="AO11" s="13"/>
      <c r="AP11" s="13"/>
      <c r="AQ11" s="12"/>
      <c r="AR11" s="13"/>
      <c r="AS11" s="13"/>
      <c r="AT11" s="13"/>
      <c r="AU11" s="14"/>
      <c r="AV11" s="13"/>
      <c r="AW11" s="13"/>
      <c r="AX11" s="13"/>
      <c r="AY11" s="13"/>
      <c r="AZ11" s="13"/>
      <c r="BA11" s="12"/>
      <c r="BB11" s="13"/>
      <c r="BC11" s="13"/>
      <c r="BD11" s="13"/>
      <c r="BE11" s="14"/>
      <c r="BF11" s="12"/>
      <c r="BG11" s="13"/>
      <c r="BH11" s="13"/>
      <c r="BI11" s="13"/>
      <c r="BJ11" s="14"/>
      <c r="BK11" s="12"/>
      <c r="BL11" s="13"/>
      <c r="BM11" s="13"/>
      <c r="BN11" s="13"/>
      <c r="BO11" s="14"/>
      <c r="BP11" s="13"/>
      <c r="BQ11" s="13"/>
      <c r="BR11" s="13"/>
      <c r="BS11" s="13"/>
      <c r="BT11" s="15"/>
      <c r="BU11" s="17" t="s">
        <v>5</v>
      </c>
      <c r="BV11" s="15" t="s">
        <v>5</v>
      </c>
      <c r="BW11" s="15" t="s">
        <v>5</v>
      </c>
      <c r="BX11" s="15" t="s">
        <v>5</v>
      </c>
      <c r="BY11" s="16" t="s">
        <v>5</v>
      </c>
      <c r="BZ11" s="15" t="s">
        <v>5</v>
      </c>
      <c r="CA11" s="15" t="s">
        <v>5</v>
      </c>
      <c r="CB11" s="15" t="s">
        <v>5</v>
      </c>
      <c r="CC11" s="15" t="s">
        <v>5</v>
      </c>
      <c r="CD11" s="16" t="s">
        <v>5</v>
      </c>
      <c r="CE11" s="15" t="s">
        <v>5</v>
      </c>
      <c r="CF11" s="9"/>
      <c r="CG11" s="10" t="s">
        <v>6</v>
      </c>
      <c r="CH11" s="13"/>
    </row>
    <row r="12" hidden="1">
      <c r="C12" s="24"/>
      <c r="D12" s="22"/>
      <c r="E12" s="22"/>
      <c r="F12" s="22"/>
      <c r="G12" s="23"/>
      <c r="H12" s="24"/>
      <c r="I12" s="22"/>
      <c r="J12" s="22"/>
      <c r="K12" s="22"/>
      <c r="L12" s="23"/>
      <c r="M12" s="24"/>
      <c r="N12" s="22"/>
      <c r="O12" s="22"/>
      <c r="P12" s="22"/>
      <c r="Q12" s="22"/>
      <c r="R12" s="24"/>
      <c r="S12" s="22"/>
      <c r="T12" s="22"/>
      <c r="U12" s="22"/>
      <c r="V12" s="23"/>
      <c r="W12" s="22"/>
      <c r="X12" s="22"/>
      <c r="Y12" s="22"/>
      <c r="Z12" s="22"/>
      <c r="AA12" s="23"/>
      <c r="AB12" s="22"/>
      <c r="AC12" s="22"/>
      <c r="AD12" s="22"/>
      <c r="AE12" s="22"/>
      <c r="AF12" s="22"/>
      <c r="AG12" s="24"/>
      <c r="AH12" s="22"/>
      <c r="AI12" s="22"/>
      <c r="AJ12" s="22"/>
      <c r="AK12" s="23"/>
      <c r="AL12" s="22"/>
      <c r="AM12" s="22"/>
      <c r="AN12" s="22"/>
      <c r="AO12" s="22"/>
      <c r="AP12" s="22"/>
      <c r="AQ12" s="24"/>
      <c r="AR12" s="22"/>
      <c r="AS12" s="22"/>
      <c r="AT12" s="22"/>
      <c r="AU12" s="23"/>
      <c r="AV12" s="22"/>
      <c r="AW12" s="22"/>
      <c r="AX12" s="22"/>
      <c r="AY12" s="22"/>
      <c r="AZ12" s="22"/>
      <c r="BA12" s="24"/>
      <c r="BB12" s="22"/>
      <c r="BC12" s="22"/>
      <c r="BD12" s="22"/>
      <c r="BE12" s="23"/>
      <c r="BF12" s="24"/>
      <c r="BG12" s="22"/>
      <c r="BH12" s="22"/>
      <c r="BI12" s="22"/>
      <c r="BJ12" s="23"/>
      <c r="BK12" s="24"/>
      <c r="BL12" s="22"/>
      <c r="BM12" s="22"/>
      <c r="BN12" s="22"/>
      <c r="BO12" s="23"/>
      <c r="BP12" s="22"/>
      <c r="BQ12" s="22"/>
      <c r="BR12" s="22"/>
      <c r="BS12" s="22"/>
      <c r="BT12" s="22"/>
      <c r="BU12" s="24"/>
      <c r="BV12" s="22"/>
      <c r="BW12" s="22"/>
      <c r="BX12" s="22"/>
      <c r="BY12" s="23"/>
      <c r="BZ12" s="22"/>
      <c r="CA12" s="22"/>
      <c r="CB12" s="22"/>
      <c r="CC12" s="22"/>
      <c r="CD12" s="23"/>
      <c r="CE12" s="22"/>
      <c r="CF12" s="25"/>
      <c r="CG12" s="26"/>
      <c r="CH12" s="13"/>
    </row>
    <row r="13" hidden="1"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</row>
    <row r="14" hidden="1">
      <c r="C14" s="34" t="s">
        <v>12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30"/>
      <c r="S14" s="31" t="s">
        <v>13</v>
      </c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3"/>
      <c r="AL14" s="34" t="s">
        <v>14</v>
      </c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30"/>
      <c r="BK14" s="34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30"/>
      <c r="CH14" s="27"/>
    </row>
    <row r="15" hidden="1">
      <c r="C15" s="37">
        <v>7.0</v>
      </c>
      <c r="D15" s="35">
        <f t="shared" ref="D15:G15" si="18">C15+1</f>
        <v>8</v>
      </c>
      <c r="E15" s="35">
        <f t="shared" si="18"/>
        <v>9</v>
      </c>
      <c r="F15" s="35">
        <f t="shared" si="18"/>
        <v>10</v>
      </c>
      <c r="G15" s="36">
        <f t="shared" si="18"/>
        <v>11</v>
      </c>
      <c r="H15" s="37">
        <f>G15+3</f>
        <v>14</v>
      </c>
      <c r="I15" s="35">
        <f t="shared" ref="I15:L15" si="19">H15+1</f>
        <v>15</v>
      </c>
      <c r="J15" s="35">
        <f t="shared" si="19"/>
        <v>16</v>
      </c>
      <c r="K15" s="35">
        <f t="shared" si="19"/>
        <v>17</v>
      </c>
      <c r="L15" s="36">
        <f t="shared" si="19"/>
        <v>18</v>
      </c>
      <c r="M15" s="37">
        <f>L15+3</f>
        <v>21</v>
      </c>
      <c r="N15" s="35">
        <f t="shared" ref="N15:Q15" si="20">M15+1</f>
        <v>22</v>
      </c>
      <c r="O15" s="35">
        <f t="shared" si="20"/>
        <v>23</v>
      </c>
      <c r="P15" s="35">
        <f t="shared" si="20"/>
        <v>24</v>
      </c>
      <c r="Q15" s="35">
        <f t="shared" si="20"/>
        <v>25</v>
      </c>
      <c r="R15" s="37">
        <f>Q15+3</f>
        <v>28</v>
      </c>
      <c r="S15" s="35">
        <v>1.0</v>
      </c>
      <c r="T15" s="35">
        <f t="shared" ref="T15:V15" si="21">S15+1</f>
        <v>2</v>
      </c>
      <c r="U15" s="35">
        <f t="shared" si="21"/>
        <v>3</v>
      </c>
      <c r="V15" s="36">
        <f t="shared" si="21"/>
        <v>4</v>
      </c>
      <c r="W15" s="35">
        <v>7.0</v>
      </c>
      <c r="X15" s="35">
        <f t="shared" ref="X15:AA15" si="22">W15+1</f>
        <v>8</v>
      </c>
      <c r="Y15" s="35">
        <f t="shared" si="22"/>
        <v>9</v>
      </c>
      <c r="Z15" s="35">
        <f t="shared" si="22"/>
        <v>10</v>
      </c>
      <c r="AA15" s="36">
        <f t="shared" si="22"/>
        <v>11</v>
      </c>
      <c r="AB15" s="37">
        <f>AA15+3</f>
        <v>14</v>
      </c>
      <c r="AC15" s="35">
        <f t="shared" ref="AC15:AF15" si="23">AB15+1</f>
        <v>15</v>
      </c>
      <c r="AD15" s="35">
        <f t="shared" si="23"/>
        <v>16</v>
      </c>
      <c r="AE15" s="35">
        <f t="shared" si="23"/>
        <v>17</v>
      </c>
      <c r="AF15" s="36">
        <f t="shared" si="23"/>
        <v>18</v>
      </c>
      <c r="AG15" s="37">
        <f>AF15+3</f>
        <v>21</v>
      </c>
      <c r="AH15" s="35">
        <f t="shared" ref="AH15:AK15" si="24">AG15+1</f>
        <v>22</v>
      </c>
      <c r="AI15" s="35">
        <f t="shared" si="24"/>
        <v>23</v>
      </c>
      <c r="AJ15" s="35">
        <f t="shared" si="24"/>
        <v>24</v>
      </c>
      <c r="AK15" s="36">
        <f t="shared" si="24"/>
        <v>25</v>
      </c>
      <c r="AL15" s="37">
        <v>28.0</v>
      </c>
      <c r="AM15" s="35">
        <f t="shared" ref="AM15:AO15" si="25">AL15+1</f>
        <v>29</v>
      </c>
      <c r="AN15" s="35">
        <f t="shared" si="25"/>
        <v>30</v>
      </c>
      <c r="AO15" s="35">
        <f t="shared" si="25"/>
        <v>31</v>
      </c>
      <c r="AP15" s="36">
        <v>1.0</v>
      </c>
      <c r="AQ15" s="37">
        <f>AP15+3</f>
        <v>4</v>
      </c>
      <c r="AR15" s="35">
        <f t="shared" ref="AR15:AU15" si="26">AQ15+1</f>
        <v>5</v>
      </c>
      <c r="AS15" s="35">
        <f t="shared" si="26"/>
        <v>6</v>
      </c>
      <c r="AT15" s="35">
        <f t="shared" si="26"/>
        <v>7</v>
      </c>
      <c r="AU15" s="36">
        <f t="shared" si="26"/>
        <v>8</v>
      </c>
      <c r="AV15" s="37">
        <f>AU15+3</f>
        <v>11</v>
      </c>
      <c r="AW15" s="35">
        <f t="shared" ref="AW15:AZ15" si="27">AV15+1</f>
        <v>12</v>
      </c>
      <c r="AX15" s="35">
        <f t="shared" si="27"/>
        <v>13</v>
      </c>
      <c r="AY15" s="35">
        <f t="shared" si="27"/>
        <v>14</v>
      </c>
      <c r="AZ15" s="36">
        <f t="shared" si="27"/>
        <v>15</v>
      </c>
      <c r="BA15" s="37">
        <f>AZ15+3</f>
        <v>18</v>
      </c>
      <c r="BB15" s="35">
        <f t="shared" ref="BB15:BE15" si="28">BA15+1</f>
        <v>19</v>
      </c>
      <c r="BC15" s="35">
        <f t="shared" si="28"/>
        <v>20</v>
      </c>
      <c r="BD15" s="35">
        <f t="shared" si="28"/>
        <v>21</v>
      </c>
      <c r="BE15" s="36">
        <f t="shared" si="28"/>
        <v>22</v>
      </c>
      <c r="BF15" s="37">
        <f>BE15+3</f>
        <v>25</v>
      </c>
      <c r="BG15" s="35">
        <f t="shared" ref="BG15:BJ15" si="29">BF15+1</f>
        <v>26</v>
      </c>
      <c r="BH15" s="35">
        <f t="shared" si="29"/>
        <v>27</v>
      </c>
      <c r="BI15" s="35">
        <f t="shared" si="29"/>
        <v>28</v>
      </c>
      <c r="BJ15" s="36">
        <f t="shared" si="29"/>
        <v>29</v>
      </c>
      <c r="BK15" s="37">
        <v>2.0</v>
      </c>
      <c r="BL15" s="35">
        <f t="shared" ref="BL15:BO15" si="30">BK15+1</f>
        <v>3</v>
      </c>
      <c r="BM15" s="35">
        <f t="shared" si="30"/>
        <v>4</v>
      </c>
      <c r="BN15" s="35">
        <f t="shared" si="30"/>
        <v>5</v>
      </c>
      <c r="BO15" s="36">
        <f t="shared" si="30"/>
        <v>6</v>
      </c>
      <c r="BP15" s="37">
        <f>BO15+3</f>
        <v>9</v>
      </c>
      <c r="BQ15" s="35">
        <f t="shared" ref="BQ15:BT15" si="31">BP15+1</f>
        <v>10</v>
      </c>
      <c r="BR15" s="35">
        <f t="shared" si="31"/>
        <v>11</v>
      </c>
      <c r="BS15" s="35">
        <f t="shared" si="31"/>
        <v>12</v>
      </c>
      <c r="BT15" s="36">
        <f t="shared" si="31"/>
        <v>13</v>
      </c>
      <c r="BU15" s="37">
        <f>BT15+3</f>
        <v>16</v>
      </c>
      <c r="BV15" s="35">
        <f t="shared" ref="BV15:BY15" si="32">BU15+1</f>
        <v>17</v>
      </c>
      <c r="BW15" s="35">
        <f t="shared" si="32"/>
        <v>18</v>
      </c>
      <c r="BX15" s="35">
        <f t="shared" si="32"/>
        <v>19</v>
      </c>
      <c r="BY15" s="36">
        <f t="shared" si="32"/>
        <v>20</v>
      </c>
      <c r="BZ15" s="37">
        <f>BY15+3</f>
        <v>23</v>
      </c>
      <c r="CA15" s="35">
        <f t="shared" ref="CA15:CD15" si="33">BZ15+1</f>
        <v>24</v>
      </c>
      <c r="CB15" s="35">
        <f t="shared" si="33"/>
        <v>25</v>
      </c>
      <c r="CC15" s="35">
        <f t="shared" si="33"/>
        <v>26</v>
      </c>
      <c r="CD15" s="36">
        <f t="shared" si="33"/>
        <v>27</v>
      </c>
      <c r="CE15" s="35">
        <v>30.0</v>
      </c>
      <c r="CF15" s="35"/>
      <c r="CG15" s="36">
        <v>31.0</v>
      </c>
      <c r="CH15" s="27"/>
    </row>
    <row r="16">
      <c r="A16" s="55">
        <v>44599.0</v>
      </c>
      <c r="B16" s="49" t="s">
        <v>0</v>
      </c>
      <c r="C16" s="11" t="s">
        <v>6</v>
      </c>
      <c r="D16" s="9"/>
      <c r="E16" s="9"/>
      <c r="F16" s="9"/>
      <c r="G16" s="10"/>
      <c r="H16" s="11"/>
      <c r="I16" s="9"/>
      <c r="J16" s="9"/>
      <c r="K16" s="9"/>
      <c r="L16" s="10"/>
      <c r="M16" s="12"/>
      <c r="N16" s="13"/>
      <c r="O16" s="13"/>
      <c r="P16" s="13"/>
      <c r="Q16" s="13"/>
      <c r="R16" s="12"/>
      <c r="S16" s="13"/>
      <c r="T16" s="13"/>
      <c r="U16" s="13"/>
      <c r="V16" s="14"/>
      <c r="W16" s="13"/>
      <c r="X16" s="13"/>
      <c r="Y16" s="13"/>
      <c r="Z16" s="13"/>
      <c r="AA16" s="14"/>
      <c r="AB16" s="13"/>
      <c r="AC16" s="13"/>
      <c r="AD16" s="13"/>
      <c r="AE16" s="13"/>
      <c r="AF16" s="13"/>
      <c r="AG16" s="12"/>
      <c r="AH16" s="13"/>
      <c r="AI16" s="13"/>
      <c r="AJ16" s="13"/>
      <c r="AK16" s="14"/>
      <c r="AL16" s="13"/>
      <c r="AM16" s="13"/>
      <c r="AN16" s="13"/>
      <c r="AO16" s="13"/>
      <c r="AP16" s="13"/>
      <c r="AQ16" s="12"/>
      <c r="AR16" s="13"/>
      <c r="AS16" s="13"/>
      <c r="AT16" s="13"/>
      <c r="AU16" s="14"/>
      <c r="AV16" s="13"/>
      <c r="AW16" s="13"/>
      <c r="AX16" s="13"/>
      <c r="AY16" s="13"/>
      <c r="AZ16" s="13"/>
      <c r="BA16" s="12"/>
      <c r="BB16" s="13"/>
      <c r="BC16" s="13"/>
      <c r="BD16" s="13"/>
      <c r="BE16" s="14"/>
      <c r="BF16" s="12"/>
      <c r="BG16" s="13"/>
      <c r="BH16" s="13"/>
      <c r="BI16" s="13"/>
      <c r="BJ16" s="14"/>
      <c r="BK16" s="12"/>
      <c r="BL16" s="13"/>
      <c r="BM16" s="13"/>
      <c r="BN16" s="13"/>
      <c r="BO16" s="14"/>
      <c r="BP16" s="13"/>
      <c r="BQ16" s="13"/>
      <c r="BR16" s="13"/>
      <c r="BS16" s="13"/>
      <c r="BT16" s="13"/>
      <c r="BU16" s="12"/>
      <c r="BV16" s="13"/>
      <c r="BW16" s="13"/>
      <c r="BX16" s="13"/>
      <c r="BY16" s="14"/>
      <c r="BZ16" s="13"/>
      <c r="CA16" s="13"/>
      <c r="CB16" s="13"/>
      <c r="CC16" s="13"/>
      <c r="CD16" s="14"/>
      <c r="CE16" s="13"/>
      <c r="CF16" s="13"/>
      <c r="CG16" s="14"/>
      <c r="CH16" s="13"/>
    </row>
    <row r="17">
      <c r="A17" s="56">
        <v>44608.0</v>
      </c>
      <c r="B17" s="50" t="s">
        <v>4</v>
      </c>
      <c r="C17" s="17"/>
      <c r="D17" s="15" t="s">
        <v>5</v>
      </c>
      <c r="E17" s="15" t="s">
        <v>5</v>
      </c>
      <c r="F17" s="15" t="s">
        <v>5</v>
      </c>
      <c r="G17" s="10" t="s">
        <v>5</v>
      </c>
      <c r="H17" s="11" t="s">
        <v>5</v>
      </c>
      <c r="I17" s="9" t="s">
        <v>5</v>
      </c>
      <c r="J17" s="9" t="s">
        <v>6</v>
      </c>
      <c r="K17" s="15"/>
      <c r="L17" s="10"/>
      <c r="M17" s="11"/>
      <c r="N17" s="9"/>
      <c r="O17" s="9"/>
      <c r="P17" s="9"/>
      <c r="Q17" s="9"/>
      <c r="R17" s="18"/>
      <c r="S17" s="19"/>
      <c r="T17" s="19"/>
      <c r="U17" s="19"/>
      <c r="V17" s="20"/>
      <c r="W17" s="13"/>
      <c r="X17" s="13"/>
      <c r="Y17" s="13"/>
      <c r="Z17" s="13"/>
      <c r="AA17" s="14"/>
      <c r="AB17" s="13"/>
      <c r="AC17" s="13"/>
      <c r="AD17" s="13"/>
      <c r="AE17" s="13"/>
      <c r="AF17" s="13"/>
      <c r="AG17" s="12"/>
      <c r="AH17" s="13"/>
      <c r="AI17" s="13"/>
      <c r="AJ17" s="13"/>
      <c r="AK17" s="14"/>
      <c r="AL17" s="13"/>
      <c r="AM17" s="13"/>
      <c r="AN17" s="13"/>
      <c r="AO17" s="13"/>
      <c r="AP17" s="13"/>
      <c r="AQ17" s="12"/>
      <c r="AR17" s="13"/>
      <c r="AS17" s="13"/>
      <c r="AT17" s="13"/>
      <c r="AU17" s="14"/>
      <c r="AV17" s="13"/>
      <c r="AW17" s="13"/>
      <c r="AX17" s="13"/>
      <c r="AY17" s="13"/>
      <c r="AZ17" s="13"/>
      <c r="BA17" s="12"/>
      <c r="BB17" s="13"/>
      <c r="BC17" s="13"/>
      <c r="BD17" s="13"/>
      <c r="BE17" s="14"/>
      <c r="BF17" s="12"/>
      <c r="BG17" s="13"/>
      <c r="BH17" s="13"/>
      <c r="BI17" s="13"/>
      <c r="BJ17" s="14"/>
      <c r="BK17" s="12"/>
      <c r="BL17" s="13"/>
      <c r="BM17" s="13"/>
      <c r="BN17" s="13"/>
      <c r="BO17" s="14"/>
      <c r="BP17" s="13"/>
      <c r="BQ17" s="13"/>
      <c r="BR17" s="13"/>
      <c r="BS17" s="13"/>
      <c r="BT17" s="13"/>
      <c r="BU17" s="12"/>
      <c r="BV17" s="13"/>
      <c r="BW17" s="13"/>
      <c r="BX17" s="13"/>
      <c r="BY17" s="14"/>
      <c r="BZ17" s="13"/>
      <c r="CA17" s="13"/>
      <c r="CB17" s="13"/>
      <c r="CC17" s="13"/>
      <c r="CD17" s="14"/>
      <c r="CE17" s="13"/>
      <c r="CF17" s="13"/>
      <c r="CG17" s="14"/>
      <c r="CH17" s="13"/>
    </row>
    <row r="18">
      <c r="A18" s="56">
        <v>44617.0</v>
      </c>
      <c r="B18" s="50" t="s">
        <v>7</v>
      </c>
      <c r="C18" s="12"/>
      <c r="D18" s="13"/>
      <c r="E18" s="13"/>
      <c r="F18" s="13"/>
      <c r="G18" s="16"/>
      <c r="H18" s="17"/>
      <c r="I18" s="15"/>
      <c r="J18" s="15"/>
      <c r="K18" s="15" t="s">
        <v>5</v>
      </c>
      <c r="L18" s="10" t="s">
        <v>5</v>
      </c>
      <c r="M18" s="11" t="s">
        <v>5</v>
      </c>
      <c r="N18" s="9" t="s">
        <v>5</v>
      </c>
      <c r="O18" s="9" t="s">
        <v>5</v>
      </c>
      <c r="P18" s="9" t="s">
        <v>5</v>
      </c>
      <c r="Q18" s="9" t="s">
        <v>6</v>
      </c>
      <c r="R18" s="17"/>
      <c r="S18" s="15"/>
      <c r="T18" s="15"/>
      <c r="U18" s="15"/>
      <c r="V18" s="16"/>
      <c r="W18" s="9"/>
      <c r="X18" s="9"/>
      <c r="Y18" s="9"/>
      <c r="Z18" s="9"/>
      <c r="AA18" s="10"/>
      <c r="AB18" s="19"/>
      <c r="AC18" s="19"/>
      <c r="AD18" s="19"/>
      <c r="AE18" s="19"/>
      <c r="AF18" s="19"/>
      <c r="AG18" s="12"/>
      <c r="AH18" s="13"/>
      <c r="AI18" s="13"/>
      <c r="AJ18" s="13"/>
      <c r="AK18" s="14"/>
      <c r="AL18" s="13"/>
      <c r="AM18" s="13"/>
      <c r="AN18" s="13"/>
      <c r="AO18" s="13"/>
      <c r="AP18" s="13"/>
      <c r="AQ18" s="12"/>
      <c r="AR18" s="13"/>
      <c r="AS18" s="13"/>
      <c r="AT18" s="13"/>
      <c r="AU18" s="14"/>
      <c r="AV18" s="13"/>
      <c r="AW18" s="13"/>
      <c r="AX18" s="13"/>
      <c r="AY18" s="13"/>
      <c r="AZ18" s="13"/>
      <c r="BA18" s="12"/>
      <c r="BB18" s="13"/>
      <c r="BC18" s="13"/>
      <c r="BD18" s="13"/>
      <c r="BE18" s="14"/>
      <c r="BF18" s="12"/>
      <c r="BG18" s="13"/>
      <c r="BH18" s="13"/>
      <c r="BI18" s="13"/>
      <c r="BJ18" s="14"/>
      <c r="BK18" s="12"/>
      <c r="BL18" s="13"/>
      <c r="BM18" s="13"/>
      <c r="BN18" s="13"/>
      <c r="BO18" s="14"/>
      <c r="BP18" s="13"/>
      <c r="BQ18" s="13"/>
      <c r="BR18" s="13"/>
      <c r="BS18" s="13"/>
      <c r="BT18" s="13"/>
      <c r="BU18" s="12"/>
      <c r="BV18" s="13"/>
      <c r="BW18" s="13"/>
      <c r="BX18" s="13"/>
      <c r="BY18" s="14"/>
      <c r="BZ18" s="13"/>
      <c r="CA18" s="13"/>
      <c r="CB18" s="13"/>
      <c r="CC18" s="13"/>
      <c r="CD18" s="14"/>
      <c r="CE18" s="13"/>
      <c r="CF18" s="13"/>
      <c r="CG18" s="14"/>
      <c r="CH18" s="13"/>
    </row>
    <row r="19">
      <c r="A19" s="56">
        <v>44645.0</v>
      </c>
      <c r="B19" s="50" t="s">
        <v>8</v>
      </c>
      <c r="C19" s="12"/>
      <c r="D19" s="13"/>
      <c r="E19" s="13"/>
      <c r="F19" s="13"/>
      <c r="G19" s="14"/>
      <c r="H19" s="12"/>
      <c r="I19" s="13"/>
      <c r="J19" s="13"/>
      <c r="K19" s="13"/>
      <c r="L19" s="14"/>
      <c r="R19" s="11" t="s">
        <v>5</v>
      </c>
      <c r="S19" s="9" t="s">
        <v>5</v>
      </c>
      <c r="T19" s="9" t="s">
        <v>5</v>
      </c>
      <c r="U19" s="9" t="s">
        <v>5</v>
      </c>
      <c r="V19" s="9" t="s">
        <v>5</v>
      </c>
      <c r="W19" s="11" t="s">
        <v>5</v>
      </c>
      <c r="X19" s="9" t="s">
        <v>5</v>
      </c>
      <c r="Y19" s="9" t="s">
        <v>5</v>
      </c>
      <c r="Z19" s="9" t="s">
        <v>5</v>
      </c>
      <c r="AA19" s="10" t="s">
        <v>5</v>
      </c>
      <c r="AB19" s="9" t="s">
        <v>5</v>
      </c>
      <c r="AC19" s="9" t="s">
        <v>5</v>
      </c>
      <c r="AD19" s="9" t="s">
        <v>5</v>
      </c>
      <c r="AE19" s="9" t="s">
        <v>5</v>
      </c>
      <c r="AF19" s="10" t="s">
        <v>5</v>
      </c>
      <c r="AG19" s="9" t="s">
        <v>5</v>
      </c>
      <c r="AH19" s="9" t="s">
        <v>5</v>
      </c>
      <c r="AI19" s="9" t="s">
        <v>5</v>
      </c>
      <c r="AJ19" s="9" t="s">
        <v>5</v>
      </c>
      <c r="AK19" s="9" t="s">
        <v>6</v>
      </c>
      <c r="AL19" s="11"/>
      <c r="AM19" s="9"/>
      <c r="AN19" s="9"/>
      <c r="AO19" s="9"/>
      <c r="AP19" s="10"/>
      <c r="AQ19" s="9"/>
      <c r="AR19" s="9"/>
      <c r="AS19" s="9"/>
      <c r="AT19" s="9"/>
      <c r="AU19" s="9"/>
      <c r="AV19" s="11"/>
      <c r="AW19" s="9"/>
      <c r="AX19" s="9"/>
      <c r="AY19" s="9"/>
      <c r="AZ19" s="10"/>
      <c r="BA19" s="19"/>
      <c r="BB19" s="19"/>
      <c r="BC19" s="19"/>
      <c r="BD19" s="19"/>
      <c r="BE19" s="19"/>
      <c r="BF19" s="12"/>
      <c r="BG19" s="13"/>
      <c r="BH19" s="13"/>
      <c r="BI19" s="13"/>
      <c r="BJ19" s="14"/>
      <c r="BK19" s="12"/>
      <c r="BL19" s="13"/>
      <c r="BM19" s="13"/>
      <c r="BN19" s="13"/>
      <c r="BO19" s="14"/>
      <c r="BP19" s="12"/>
      <c r="BQ19" s="13"/>
      <c r="BR19" s="13"/>
      <c r="BS19" s="13"/>
      <c r="BT19" s="14"/>
      <c r="BU19" s="13"/>
      <c r="BV19" s="13"/>
      <c r="BW19" s="13"/>
      <c r="BX19" s="13"/>
      <c r="BY19" s="13"/>
      <c r="BZ19" s="12"/>
      <c r="CA19" s="13"/>
      <c r="CB19" s="13"/>
      <c r="CC19" s="13"/>
      <c r="CD19" s="14"/>
      <c r="CE19" s="13"/>
      <c r="CF19" s="13"/>
      <c r="CG19" s="14"/>
      <c r="CH19" s="13"/>
    </row>
    <row r="20">
      <c r="A20" s="56">
        <v>44666.0</v>
      </c>
      <c r="B20" s="50" t="s">
        <v>9</v>
      </c>
      <c r="C20" s="12"/>
      <c r="D20" s="13"/>
      <c r="E20" s="13"/>
      <c r="F20" s="13"/>
      <c r="G20" s="14"/>
      <c r="H20" s="12"/>
      <c r="I20" s="13"/>
      <c r="J20" s="13"/>
      <c r="K20" s="13"/>
      <c r="L20" s="14"/>
      <c r="R20" s="12"/>
      <c r="S20" s="13"/>
      <c r="T20" s="13"/>
      <c r="U20" s="13"/>
      <c r="V20" s="13"/>
      <c r="W20" s="12"/>
      <c r="X20" s="13"/>
      <c r="Y20" s="13"/>
      <c r="Z20" s="13"/>
      <c r="AA20" s="14"/>
      <c r="AB20" s="13"/>
      <c r="AC20" s="13"/>
      <c r="AD20" s="13"/>
      <c r="AE20" s="13"/>
      <c r="AF20" s="14"/>
      <c r="AG20" s="13"/>
      <c r="AH20" s="13"/>
      <c r="AI20" s="13"/>
      <c r="AJ20" s="13"/>
      <c r="AK20" s="13"/>
      <c r="AL20" s="11" t="s">
        <v>5</v>
      </c>
      <c r="AM20" s="9" t="s">
        <v>5</v>
      </c>
      <c r="AN20" s="9" t="s">
        <v>5</v>
      </c>
      <c r="AO20" s="9" t="s">
        <v>5</v>
      </c>
      <c r="AP20" s="10" t="s">
        <v>5</v>
      </c>
      <c r="AQ20" s="9" t="s">
        <v>5</v>
      </c>
      <c r="AR20" s="9" t="s">
        <v>5</v>
      </c>
      <c r="AS20" s="9" t="s">
        <v>5</v>
      </c>
      <c r="AT20" s="9" t="s">
        <v>5</v>
      </c>
      <c r="AU20" s="9" t="s">
        <v>5</v>
      </c>
      <c r="AV20" s="11" t="s">
        <v>5</v>
      </c>
      <c r="AW20" s="9" t="s">
        <v>5</v>
      </c>
      <c r="AX20" s="9" t="s">
        <v>5</v>
      </c>
      <c r="AY20" s="9" t="s">
        <v>5</v>
      </c>
      <c r="AZ20" s="10" t="s">
        <v>6</v>
      </c>
      <c r="BA20" s="17"/>
      <c r="BB20" s="15"/>
      <c r="BC20" s="15"/>
      <c r="BD20" s="15"/>
      <c r="BE20" s="15"/>
      <c r="BF20" s="11"/>
      <c r="BG20" s="9"/>
      <c r="BH20" s="9"/>
      <c r="BI20" s="9"/>
      <c r="BJ20" s="10"/>
      <c r="BK20" s="18"/>
      <c r="BL20" s="19"/>
      <c r="BM20" s="19"/>
      <c r="BN20" s="19"/>
      <c r="BO20" s="20"/>
      <c r="BP20" s="12"/>
      <c r="BQ20" s="13"/>
      <c r="BR20" s="13"/>
      <c r="BS20" s="13"/>
      <c r="BT20" s="14"/>
      <c r="BU20" s="13"/>
      <c r="BV20" s="13"/>
      <c r="BW20" s="13"/>
      <c r="BX20" s="13"/>
      <c r="BY20" s="13"/>
      <c r="BZ20" s="12"/>
      <c r="CA20" s="13"/>
      <c r="CB20" s="13"/>
      <c r="CC20" s="13"/>
      <c r="CD20" s="14"/>
      <c r="CE20" s="13"/>
      <c r="CF20" s="13"/>
      <c r="CG20" s="14"/>
      <c r="CH20" s="13"/>
    </row>
    <row r="21">
      <c r="A21" s="56">
        <v>44687.0</v>
      </c>
      <c r="B21" s="50" t="s">
        <v>10</v>
      </c>
      <c r="C21" s="12"/>
      <c r="D21" s="13"/>
      <c r="E21" s="13"/>
      <c r="F21" s="13"/>
      <c r="G21" s="14"/>
      <c r="H21" s="12"/>
      <c r="I21" s="13"/>
      <c r="J21" s="13"/>
      <c r="K21" s="13"/>
      <c r="L21" s="14"/>
      <c r="R21" s="12"/>
      <c r="S21" s="13"/>
      <c r="T21" s="13"/>
      <c r="U21" s="13"/>
      <c r="V21" s="13"/>
      <c r="W21" s="12"/>
      <c r="X21" s="13"/>
      <c r="Y21" s="13"/>
      <c r="Z21" s="13"/>
      <c r="AA21" s="14"/>
      <c r="AB21" s="13"/>
      <c r="AC21" s="13"/>
      <c r="AD21" s="13"/>
      <c r="AE21" s="13"/>
      <c r="AF21" s="14"/>
      <c r="AG21" s="13"/>
      <c r="AH21" s="13"/>
      <c r="AI21" s="13"/>
      <c r="AJ21" s="13"/>
      <c r="AK21" s="13"/>
      <c r="AL21" s="12"/>
      <c r="AM21" s="13"/>
      <c r="AN21" s="13"/>
      <c r="AO21" s="13"/>
      <c r="AP21" s="14"/>
      <c r="AQ21" s="13"/>
      <c r="AR21" s="13"/>
      <c r="AS21" s="13"/>
      <c r="AT21" s="13"/>
      <c r="AU21" s="13"/>
      <c r="AV21" s="12"/>
      <c r="AW21" s="13"/>
      <c r="AX21" s="13"/>
      <c r="AY21" s="13"/>
      <c r="AZ21" s="14"/>
      <c r="BA21" s="9" t="s">
        <v>5</v>
      </c>
      <c r="BB21" s="9" t="s">
        <v>5</v>
      </c>
      <c r="BC21" s="9" t="s">
        <v>5</v>
      </c>
      <c r="BD21" s="9" t="s">
        <v>5</v>
      </c>
      <c r="BE21" s="9" t="s">
        <v>5</v>
      </c>
      <c r="BF21" s="11" t="s">
        <v>5</v>
      </c>
      <c r="BG21" s="9" t="s">
        <v>5</v>
      </c>
      <c r="BH21" s="9" t="s">
        <v>5</v>
      </c>
      <c r="BI21" s="9" t="s">
        <v>5</v>
      </c>
      <c r="BJ21" s="10" t="s">
        <v>5</v>
      </c>
      <c r="BK21" s="11" t="s">
        <v>5</v>
      </c>
      <c r="BL21" s="9" t="s">
        <v>5</v>
      </c>
      <c r="BM21" s="9" t="s">
        <v>5</v>
      </c>
      <c r="BN21" s="9" t="s">
        <v>5</v>
      </c>
      <c r="BO21" s="10" t="s">
        <v>6</v>
      </c>
      <c r="BP21" s="11"/>
      <c r="BQ21" s="9"/>
      <c r="BR21" s="9"/>
      <c r="BS21" s="9"/>
      <c r="BT21" s="10"/>
      <c r="BU21" s="19"/>
      <c r="BV21" s="19"/>
      <c r="BW21" s="19"/>
      <c r="BX21" s="19"/>
      <c r="BY21" s="19"/>
      <c r="BZ21" s="12"/>
      <c r="CA21" s="13"/>
      <c r="CB21" s="13"/>
      <c r="CC21" s="13"/>
      <c r="CD21" s="14"/>
      <c r="CE21" s="13"/>
      <c r="CF21" s="13"/>
      <c r="CG21" s="14"/>
      <c r="CH21" s="13"/>
    </row>
    <row r="22">
      <c r="A22" s="56">
        <v>44712.0</v>
      </c>
      <c r="B22" s="50" t="s">
        <v>11</v>
      </c>
      <c r="C22" s="12"/>
      <c r="D22" s="13"/>
      <c r="E22" s="13"/>
      <c r="F22" s="13"/>
      <c r="G22" s="14"/>
      <c r="H22" s="12"/>
      <c r="I22" s="13"/>
      <c r="J22" s="13"/>
      <c r="K22" s="13"/>
      <c r="L22" s="14"/>
      <c r="R22" s="12"/>
      <c r="S22" s="13"/>
      <c r="T22" s="13"/>
      <c r="U22" s="13"/>
      <c r="V22" s="13"/>
      <c r="W22" s="12"/>
      <c r="X22" s="13"/>
      <c r="Y22" s="13"/>
      <c r="Z22" s="13"/>
      <c r="AA22" s="14"/>
      <c r="AB22" s="13"/>
      <c r="AC22" s="13"/>
      <c r="AD22" s="13"/>
      <c r="AE22" s="13"/>
      <c r="AF22" s="14"/>
      <c r="AG22" s="13"/>
      <c r="AH22" s="13"/>
      <c r="AI22" s="13"/>
      <c r="AJ22" s="13"/>
      <c r="AK22" s="13"/>
      <c r="AL22" s="12"/>
      <c r="AM22" s="13"/>
      <c r="AN22" s="13"/>
      <c r="AO22" s="13"/>
      <c r="AP22" s="14"/>
      <c r="AQ22" s="13"/>
      <c r="AR22" s="13"/>
      <c r="AS22" s="13"/>
      <c r="AT22" s="13"/>
      <c r="AU22" s="13"/>
      <c r="AV22" s="12"/>
      <c r="AW22" s="13"/>
      <c r="AX22" s="13"/>
      <c r="AY22" s="13"/>
      <c r="AZ22" s="14"/>
      <c r="BA22" s="13"/>
      <c r="BB22" s="13"/>
      <c r="BC22" s="13"/>
      <c r="BD22" s="13"/>
      <c r="BE22" s="13"/>
      <c r="BF22" s="12"/>
      <c r="BG22" s="13"/>
      <c r="BH22" s="13"/>
      <c r="BI22" s="13"/>
      <c r="BJ22" s="14"/>
      <c r="BK22" s="12"/>
      <c r="BL22" s="13"/>
      <c r="BM22" s="13"/>
      <c r="BN22" s="13"/>
      <c r="BO22" s="14"/>
      <c r="BP22" s="11" t="s">
        <v>5</v>
      </c>
      <c r="BQ22" s="9" t="s">
        <v>5</v>
      </c>
      <c r="BR22" s="9" t="s">
        <v>5</v>
      </c>
      <c r="BS22" s="9" t="s">
        <v>5</v>
      </c>
      <c r="BT22" s="10" t="s">
        <v>5</v>
      </c>
      <c r="BU22" s="9" t="s">
        <v>5</v>
      </c>
      <c r="BV22" s="9" t="s">
        <v>5</v>
      </c>
      <c r="BW22" s="9" t="s">
        <v>5</v>
      </c>
      <c r="BX22" s="9" t="s">
        <v>5</v>
      </c>
      <c r="BY22" s="9" t="s">
        <v>5</v>
      </c>
      <c r="BZ22" s="11" t="s">
        <v>5</v>
      </c>
      <c r="CA22" s="9" t="s">
        <v>5</v>
      </c>
      <c r="CB22" s="9" t="s">
        <v>5</v>
      </c>
      <c r="CC22" s="9" t="s">
        <v>5</v>
      </c>
      <c r="CD22" s="10" t="s">
        <v>5</v>
      </c>
      <c r="CE22" s="9" t="s">
        <v>5</v>
      </c>
      <c r="CF22" s="9" t="s">
        <v>5</v>
      </c>
      <c r="CG22" s="10" t="s">
        <v>6</v>
      </c>
      <c r="CH22" s="13"/>
    </row>
    <row r="23">
      <c r="A23" s="57"/>
      <c r="B23" s="51"/>
      <c r="C23" s="12"/>
      <c r="D23" s="13"/>
      <c r="E23" s="13"/>
      <c r="F23" s="13"/>
      <c r="G23" s="14"/>
      <c r="H23" s="12"/>
      <c r="I23" s="13"/>
      <c r="J23" s="13"/>
      <c r="K23" s="13"/>
      <c r="L23" s="14"/>
      <c r="M23" s="12"/>
      <c r="N23" s="13"/>
      <c r="O23" s="13"/>
      <c r="P23" s="13"/>
      <c r="Q23" s="13"/>
      <c r="R23" s="12"/>
      <c r="S23" s="13"/>
      <c r="T23" s="13"/>
      <c r="U23" s="13"/>
      <c r="V23" s="14"/>
      <c r="W23" s="13"/>
      <c r="X23" s="13"/>
      <c r="Y23" s="13"/>
      <c r="Z23" s="13"/>
      <c r="AA23" s="14"/>
      <c r="AB23" s="13"/>
      <c r="AC23" s="13"/>
      <c r="AD23" s="13"/>
      <c r="AE23" s="13"/>
      <c r="AF23" s="13"/>
      <c r="AG23" s="12"/>
      <c r="AH23" s="13"/>
      <c r="AI23" s="13"/>
      <c r="AJ23" s="13"/>
      <c r="AK23" s="14"/>
      <c r="AL23" s="13"/>
      <c r="AM23" s="13"/>
      <c r="AN23" s="13"/>
      <c r="AO23" s="13"/>
      <c r="AP23" s="13"/>
      <c r="AQ23" s="12"/>
      <c r="AR23" s="13"/>
      <c r="AS23" s="13"/>
      <c r="AT23" s="13"/>
      <c r="AU23" s="14"/>
      <c r="AV23" s="13"/>
      <c r="AW23" s="13"/>
      <c r="AX23" s="13"/>
      <c r="AY23" s="13"/>
      <c r="AZ23" s="13"/>
      <c r="BA23" s="12"/>
      <c r="BB23" s="13"/>
      <c r="BC23" s="13"/>
      <c r="BD23" s="13"/>
      <c r="BE23" s="14"/>
      <c r="BF23" s="12"/>
      <c r="BG23" s="13"/>
      <c r="BH23" s="13"/>
      <c r="BI23" s="13"/>
      <c r="BJ23" s="14"/>
      <c r="BK23" s="12"/>
      <c r="BL23" s="13"/>
      <c r="BM23" s="13"/>
      <c r="BN23" s="13"/>
      <c r="BO23" s="14"/>
      <c r="BP23" s="13"/>
      <c r="BQ23" s="13"/>
      <c r="BR23" s="13"/>
      <c r="BS23" s="13"/>
      <c r="BT23" s="13"/>
      <c r="BU23" s="12"/>
      <c r="BV23" s="13"/>
      <c r="BW23" s="13"/>
      <c r="BX23" s="13"/>
      <c r="BY23" s="14"/>
      <c r="BZ23" s="13"/>
      <c r="CA23" s="13"/>
      <c r="CB23" s="13"/>
      <c r="CC23" s="13"/>
      <c r="CD23" s="14"/>
      <c r="CE23" s="13"/>
      <c r="CF23" s="13"/>
      <c r="CG23" s="14"/>
      <c r="CH23" s="13"/>
    </row>
    <row r="24">
      <c r="A24" s="47"/>
      <c r="B24" s="48"/>
      <c r="C24" s="24"/>
      <c r="D24" s="22"/>
      <c r="E24" s="22"/>
      <c r="F24" s="22"/>
      <c r="G24" s="23"/>
      <c r="H24" s="24"/>
      <c r="I24" s="22"/>
      <c r="J24" s="22"/>
      <c r="K24" s="22"/>
      <c r="L24" s="23"/>
      <c r="M24" s="24"/>
      <c r="N24" s="22"/>
      <c r="O24" s="22"/>
      <c r="P24" s="22"/>
      <c r="Q24" s="22"/>
      <c r="R24" s="24"/>
      <c r="S24" s="22"/>
      <c r="T24" s="22"/>
      <c r="U24" s="22"/>
      <c r="V24" s="23"/>
      <c r="W24" s="22"/>
      <c r="X24" s="22"/>
      <c r="Y24" s="22"/>
      <c r="Z24" s="22"/>
      <c r="AA24" s="23"/>
      <c r="AB24" s="22"/>
      <c r="AC24" s="22"/>
      <c r="AD24" s="22"/>
      <c r="AE24" s="22"/>
      <c r="AF24" s="22"/>
      <c r="AG24" s="24"/>
      <c r="AH24" s="22"/>
      <c r="AI24" s="22"/>
      <c r="AJ24" s="22"/>
      <c r="AK24" s="23"/>
      <c r="AL24" s="22"/>
      <c r="AM24" s="22"/>
      <c r="AN24" s="22"/>
      <c r="AO24" s="22"/>
      <c r="AP24" s="22"/>
      <c r="AQ24" s="24"/>
      <c r="AR24" s="22"/>
      <c r="AS24" s="22"/>
      <c r="AT24" s="22"/>
      <c r="AU24" s="23"/>
      <c r="AV24" s="22"/>
      <c r="AW24" s="22"/>
      <c r="AX24" s="22"/>
      <c r="AY24" s="22"/>
      <c r="AZ24" s="22"/>
      <c r="BA24" s="24"/>
      <c r="BB24" s="22"/>
      <c r="BC24" s="22"/>
      <c r="BD24" s="22"/>
      <c r="BE24" s="23"/>
      <c r="BF24" s="24"/>
      <c r="BG24" s="22"/>
      <c r="BH24" s="22"/>
      <c r="BI24" s="22"/>
      <c r="BJ24" s="23"/>
      <c r="BK24" s="24"/>
      <c r="BL24" s="22"/>
      <c r="BM24" s="22"/>
      <c r="BN24" s="22"/>
      <c r="BO24" s="23"/>
      <c r="BP24" s="22"/>
      <c r="BQ24" s="22"/>
      <c r="BR24" s="22"/>
      <c r="BS24" s="22"/>
      <c r="BT24" s="22"/>
      <c r="BU24" s="24"/>
      <c r="BV24" s="22"/>
      <c r="BW24" s="22"/>
      <c r="BX24" s="22"/>
      <c r="BY24" s="23"/>
      <c r="BZ24" s="22"/>
      <c r="CA24" s="22"/>
      <c r="CB24" s="22"/>
      <c r="CC24" s="22"/>
      <c r="CD24" s="23"/>
      <c r="CE24" s="22"/>
      <c r="CF24" s="22"/>
      <c r="CG24" s="23"/>
      <c r="CH24" s="13"/>
    </row>
    <row r="25"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</row>
    <row r="26">
      <c r="B26" s="53" t="s">
        <v>19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</row>
    <row r="27"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</row>
  </sheetData>
  <mergeCells count="12">
    <mergeCell ref="S14:AK14"/>
    <mergeCell ref="AL14:BJ14"/>
    <mergeCell ref="A22:A24"/>
    <mergeCell ref="B22:B24"/>
    <mergeCell ref="A2:B3"/>
    <mergeCell ref="C2:S2"/>
    <mergeCell ref="T2:AP2"/>
    <mergeCell ref="AQ2:BJ2"/>
    <mergeCell ref="BK2:CG2"/>
    <mergeCell ref="B10:B12"/>
    <mergeCell ref="C14:R14"/>
    <mergeCell ref="BK14:CG14"/>
  </mergeCells>
  <conditionalFormatting sqref="C4:CG12 C16:CG24">
    <cfRule type="cellIs" dxfId="0" priority="1" operator="equal">
      <formula>"T"</formula>
    </cfRule>
  </conditionalFormatting>
  <conditionalFormatting sqref="C4:CG12 C16:CG24">
    <cfRule type="cellIs" dxfId="1" priority="2" operator="equal">
      <formula>"E"</formula>
    </cfRule>
  </conditionalFormatting>
  <conditionalFormatting sqref="C4:CG12 C16:CG24">
    <cfRule type="cellIs" dxfId="0" priority="3" operator="equal">
      <formula>"C"</formula>
    </cfRule>
  </conditionalFormatting>
  <hyperlinks>
    <hyperlink r:id="rId1" ref="B2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